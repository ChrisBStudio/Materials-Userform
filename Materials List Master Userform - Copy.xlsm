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Excel\"/>
    </mc:Choice>
  </mc:AlternateContent>
  <xr:revisionPtr revIDLastSave="0" documentId="13_ncr:1_{D4EF8CCF-F672-4A59-878D-1F900C3EC055}" xr6:coauthVersionLast="47" xr6:coauthVersionMax="47" xr10:uidLastSave="{00000000-0000-0000-0000-000000000000}"/>
  <bookViews>
    <workbookView visibility="hidden" xWindow="5040" yWindow="1470" windowWidth="21600" windowHeight="11385" xr2:uid="{D65CDD10-B426-45EB-9E0D-8FCCCD09751B}"/>
  </bookViews>
  <sheets>
    <sheet name="MaterialsSheet" sheetId="3" r:id="rId1"/>
    <sheet name="Hatch" sheetId="4" r:id="rId2"/>
    <sheet name="Standards" sheetId="5" r:id="rId3"/>
    <sheet name="RGB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7" i="4" l="1"/>
  <c r="C28" i="4"/>
  <c r="C29" i="4"/>
  <c r="B4" i="5"/>
  <c r="F3" i="5"/>
  <c r="C3" i="5"/>
  <c r="B3" i="5" s="1"/>
  <c r="D3" i="5"/>
  <c r="E3" i="5"/>
  <c r="F523" i="1"/>
  <c r="G523" i="1"/>
  <c r="F867" i="1"/>
  <c r="G867" i="1"/>
  <c r="H867" i="1"/>
  <c r="F875" i="1"/>
  <c r="G875" i="1"/>
  <c r="H875" i="1"/>
  <c r="F853" i="1"/>
  <c r="G853" i="1"/>
  <c r="H853" i="1"/>
  <c r="F881" i="1"/>
  <c r="G881" i="1"/>
  <c r="H881" i="1"/>
  <c r="F843" i="1"/>
  <c r="G843" i="1"/>
  <c r="H843" i="1"/>
  <c r="F879" i="1"/>
  <c r="G879" i="1"/>
  <c r="H879" i="1"/>
  <c r="F804" i="1"/>
  <c r="G804" i="1"/>
  <c r="H804" i="1"/>
  <c r="F782" i="1"/>
  <c r="G782" i="1"/>
  <c r="H782" i="1"/>
  <c r="F883" i="1"/>
  <c r="G883" i="1"/>
  <c r="H883" i="1"/>
  <c r="F882" i="1"/>
  <c r="G882" i="1"/>
  <c r="H882" i="1"/>
  <c r="F880" i="1"/>
  <c r="G880" i="1"/>
  <c r="H880" i="1"/>
  <c r="F884" i="1"/>
  <c r="G884" i="1"/>
  <c r="H884" i="1"/>
  <c r="F813" i="1"/>
  <c r="G813" i="1"/>
  <c r="H813" i="1"/>
  <c r="F839" i="1"/>
  <c r="G839" i="1"/>
  <c r="H839" i="1"/>
  <c r="F746" i="1"/>
  <c r="G746" i="1"/>
  <c r="H746" i="1"/>
  <c r="F744" i="1"/>
  <c r="G744" i="1"/>
  <c r="H744" i="1"/>
  <c r="F749" i="1"/>
  <c r="G749" i="1"/>
  <c r="H749" i="1"/>
  <c r="F748" i="1"/>
  <c r="G748" i="1"/>
  <c r="H748" i="1"/>
  <c r="F745" i="1"/>
  <c r="G745" i="1"/>
  <c r="H745" i="1"/>
  <c r="F747" i="1"/>
  <c r="G747" i="1"/>
  <c r="H747" i="1"/>
  <c r="F1202" i="1"/>
  <c r="G1202" i="1"/>
  <c r="H1202" i="1"/>
  <c r="F1207" i="1"/>
  <c r="G1207" i="1"/>
  <c r="H1207" i="1"/>
  <c r="F1208" i="1"/>
  <c r="G1208" i="1"/>
  <c r="H1208" i="1"/>
  <c r="F1206" i="1"/>
  <c r="G1206" i="1"/>
  <c r="H1206" i="1"/>
  <c r="F1196" i="1"/>
  <c r="G1196" i="1"/>
  <c r="H1196" i="1"/>
  <c r="F1205" i="1"/>
  <c r="G1205" i="1"/>
  <c r="H1205" i="1"/>
  <c r="F1204" i="1"/>
  <c r="G1204" i="1"/>
  <c r="H1204" i="1"/>
  <c r="F1203" i="1"/>
  <c r="G1203" i="1"/>
  <c r="H1203" i="1"/>
  <c r="F1181" i="1"/>
  <c r="G1181" i="1"/>
  <c r="H1181" i="1"/>
  <c r="F1192" i="1"/>
  <c r="G1192" i="1"/>
  <c r="H1192" i="1"/>
  <c r="F1165" i="1"/>
  <c r="G1165" i="1"/>
  <c r="H1165" i="1"/>
  <c r="F1024" i="1"/>
  <c r="G1024" i="1"/>
  <c r="H1024" i="1"/>
  <c r="F1006" i="1"/>
  <c r="G1006" i="1"/>
  <c r="H1006" i="1"/>
  <c r="F1017" i="1"/>
  <c r="G1017" i="1"/>
  <c r="H1017" i="1"/>
  <c r="F1028" i="1"/>
  <c r="G1028" i="1"/>
  <c r="H1028" i="1"/>
  <c r="F1011" i="1"/>
  <c r="G1011" i="1"/>
  <c r="H1011" i="1"/>
  <c r="F1039" i="1"/>
  <c r="G1039" i="1"/>
  <c r="H1039" i="1"/>
  <c r="F1040" i="1"/>
  <c r="G1040" i="1"/>
  <c r="H1040" i="1"/>
  <c r="F988" i="1"/>
  <c r="G988" i="1"/>
  <c r="H988" i="1"/>
  <c r="F956" i="1"/>
  <c r="G956" i="1"/>
  <c r="H956" i="1"/>
  <c r="F919" i="1"/>
  <c r="G919" i="1"/>
  <c r="H919" i="1"/>
  <c r="F942" i="1"/>
  <c r="G942" i="1"/>
  <c r="H942" i="1"/>
  <c r="F960" i="1"/>
  <c r="G960" i="1"/>
  <c r="H960" i="1"/>
  <c r="F964" i="1"/>
  <c r="G964" i="1"/>
  <c r="H964" i="1"/>
  <c r="F944" i="1"/>
  <c r="G944" i="1"/>
  <c r="H944" i="1"/>
  <c r="F929" i="1"/>
  <c r="G929" i="1"/>
  <c r="H929" i="1"/>
  <c r="F1062" i="1"/>
  <c r="G1062" i="1"/>
  <c r="H1062" i="1"/>
  <c r="F922" i="1"/>
  <c r="G922" i="1"/>
  <c r="H922" i="1"/>
  <c r="F1061" i="1"/>
  <c r="G1061" i="1"/>
  <c r="H1061" i="1"/>
  <c r="F927" i="1"/>
  <c r="G927" i="1"/>
  <c r="H927" i="1"/>
  <c r="F457" i="1"/>
  <c r="G457" i="1"/>
  <c r="H457" i="1"/>
  <c r="F423" i="1"/>
  <c r="G423" i="1"/>
  <c r="H423" i="1"/>
  <c r="F419" i="1"/>
  <c r="G419" i="1"/>
  <c r="H419" i="1"/>
  <c r="F376" i="1"/>
  <c r="G376" i="1"/>
  <c r="H376" i="1"/>
  <c r="F496" i="1"/>
  <c r="G496" i="1"/>
  <c r="H496" i="1"/>
  <c r="F444" i="1"/>
  <c r="G444" i="1"/>
  <c r="H444" i="1"/>
  <c r="F440" i="1"/>
  <c r="G440" i="1"/>
  <c r="H440" i="1"/>
  <c r="F375" i="1"/>
  <c r="G375" i="1"/>
  <c r="H375" i="1"/>
  <c r="F377" i="1"/>
  <c r="G377" i="1"/>
  <c r="H377" i="1"/>
  <c r="F500" i="1"/>
  <c r="G500" i="1"/>
  <c r="H500" i="1"/>
  <c r="F491" i="1"/>
  <c r="G491" i="1"/>
  <c r="H491" i="1"/>
  <c r="F486" i="1"/>
  <c r="G486" i="1"/>
  <c r="H486" i="1"/>
  <c r="F372" i="1"/>
  <c r="G372" i="1"/>
  <c r="H372" i="1"/>
  <c r="F371" i="1"/>
  <c r="G371" i="1"/>
  <c r="H371" i="1"/>
  <c r="F447" i="1"/>
  <c r="G447" i="1"/>
  <c r="H447" i="1"/>
  <c r="F412" i="1"/>
  <c r="G412" i="1"/>
  <c r="H412" i="1"/>
  <c r="F428" i="1"/>
  <c r="G428" i="1"/>
  <c r="H428" i="1"/>
  <c r="F516" i="1"/>
  <c r="G516" i="1"/>
  <c r="H516" i="1"/>
  <c r="F407" i="1"/>
  <c r="G407" i="1"/>
  <c r="H407" i="1"/>
  <c r="F435" i="1"/>
  <c r="G435" i="1"/>
  <c r="H435" i="1"/>
  <c r="F482" i="1"/>
  <c r="G482" i="1"/>
  <c r="H482" i="1"/>
  <c r="F374" i="1"/>
  <c r="G374" i="1"/>
  <c r="H374" i="1"/>
  <c r="F373" i="1"/>
  <c r="G373" i="1"/>
  <c r="H373" i="1"/>
  <c r="F8" i="1"/>
  <c r="G8" i="1"/>
  <c r="H8" i="1"/>
  <c r="F9" i="1"/>
  <c r="G9" i="1"/>
  <c r="H9" i="1"/>
  <c r="F158" i="1"/>
  <c r="G158" i="1"/>
  <c r="H158" i="1"/>
  <c r="F136" i="1"/>
  <c r="G136" i="1"/>
  <c r="H136" i="1"/>
  <c r="F95" i="1"/>
  <c r="G95" i="1"/>
  <c r="H95" i="1"/>
  <c r="F201" i="1"/>
  <c r="G201" i="1"/>
  <c r="H201" i="1"/>
  <c r="F216" i="1"/>
  <c r="G216" i="1"/>
  <c r="H216" i="1"/>
  <c r="F7" i="1"/>
  <c r="G7" i="1"/>
  <c r="H7" i="1"/>
  <c r="F235" i="1"/>
  <c r="G235" i="1"/>
  <c r="H235" i="1"/>
  <c r="F211" i="1"/>
  <c r="G211" i="1"/>
  <c r="H211" i="1"/>
  <c r="F139" i="1"/>
  <c r="G139" i="1"/>
  <c r="H139" i="1"/>
  <c r="F140" i="1"/>
  <c r="G140" i="1"/>
  <c r="H140" i="1"/>
  <c r="F132" i="1"/>
  <c r="G132" i="1"/>
  <c r="H132" i="1"/>
  <c r="F104" i="1"/>
  <c r="G104" i="1"/>
  <c r="H104" i="1"/>
  <c r="F105" i="1"/>
  <c r="G105" i="1"/>
  <c r="H105" i="1"/>
  <c r="F6" i="1"/>
  <c r="G6" i="1"/>
  <c r="H6" i="1"/>
  <c r="F175" i="1"/>
  <c r="G175" i="1"/>
  <c r="H175" i="1"/>
  <c r="F66" i="1"/>
  <c r="G66" i="1"/>
  <c r="H66" i="1"/>
  <c r="F90" i="1"/>
  <c r="G90" i="1"/>
  <c r="H90" i="1"/>
  <c r="F204" i="1"/>
  <c r="G204" i="1"/>
  <c r="H204" i="1"/>
  <c r="F5" i="1"/>
  <c r="G5" i="1"/>
  <c r="H5" i="1"/>
  <c r="F4" i="1"/>
  <c r="G4" i="1"/>
  <c r="H4" i="1"/>
  <c r="F3" i="1"/>
  <c r="G3" i="1"/>
  <c r="H3" i="1"/>
  <c r="F2" i="1"/>
  <c r="G2" i="1"/>
  <c r="H2" i="1"/>
  <c r="F169" i="1"/>
  <c r="G169" i="1"/>
  <c r="H169" i="1"/>
  <c r="F345" i="1"/>
  <c r="G345" i="1"/>
  <c r="H345" i="1"/>
  <c r="F344" i="1"/>
  <c r="G344" i="1"/>
  <c r="H344" i="1"/>
  <c r="F343" i="1"/>
  <c r="G343" i="1"/>
  <c r="H343" i="1"/>
  <c r="F342" i="1"/>
  <c r="G342" i="1"/>
  <c r="H342" i="1"/>
  <c r="F337" i="1"/>
  <c r="G337" i="1"/>
  <c r="H337" i="1"/>
  <c r="F317" i="1"/>
  <c r="G317" i="1"/>
  <c r="H317" i="1"/>
  <c r="F308" i="1"/>
  <c r="G308" i="1"/>
  <c r="H308" i="1"/>
  <c r="F287" i="1"/>
  <c r="G287" i="1"/>
  <c r="H287" i="1"/>
  <c r="F334" i="1"/>
  <c r="G334" i="1"/>
  <c r="H334" i="1"/>
  <c r="F314" i="1"/>
  <c r="G314" i="1"/>
  <c r="H314" i="1"/>
  <c r="F284" i="1"/>
  <c r="G284" i="1"/>
  <c r="H284" i="1"/>
  <c r="F298" i="1"/>
  <c r="G298" i="1"/>
  <c r="H298" i="1"/>
  <c r="F307" i="1"/>
  <c r="G307" i="1"/>
  <c r="H307" i="1"/>
  <c r="F257" i="1"/>
  <c r="G257" i="1"/>
  <c r="H257" i="1"/>
  <c r="F272" i="1"/>
  <c r="G272" i="1"/>
  <c r="H272" i="1"/>
  <c r="F275" i="1"/>
  <c r="G275" i="1"/>
  <c r="H275" i="1"/>
  <c r="F250" i="1"/>
  <c r="G250" i="1"/>
  <c r="H250" i="1"/>
  <c r="F1129" i="1"/>
  <c r="G1129" i="1"/>
  <c r="H1129" i="1"/>
  <c r="F1127" i="1"/>
  <c r="G1127" i="1"/>
  <c r="H1127" i="1"/>
  <c r="F1096" i="1"/>
  <c r="G1096" i="1"/>
  <c r="H1096" i="1"/>
  <c r="F1106" i="1"/>
  <c r="G1106" i="1"/>
  <c r="H1106" i="1"/>
  <c r="F1097" i="1"/>
  <c r="G1097" i="1"/>
  <c r="H1097" i="1"/>
  <c r="F1095" i="1"/>
  <c r="G1095" i="1"/>
  <c r="H1095" i="1"/>
  <c r="F1111" i="1"/>
  <c r="G1111" i="1"/>
  <c r="H1111" i="1"/>
  <c r="F1105" i="1"/>
  <c r="G1105" i="1"/>
  <c r="H1105" i="1"/>
  <c r="F1125" i="1"/>
  <c r="G1125" i="1"/>
  <c r="H1125" i="1"/>
  <c r="F1104" i="1"/>
  <c r="G1104" i="1"/>
  <c r="H1104" i="1"/>
  <c r="F1121" i="1"/>
  <c r="G1121" i="1"/>
  <c r="H1121" i="1"/>
  <c r="F1126" i="1"/>
  <c r="G1126" i="1"/>
  <c r="H1126" i="1"/>
  <c r="F1128" i="1"/>
  <c r="G1128" i="1"/>
  <c r="H1128" i="1"/>
  <c r="F1114" i="1"/>
  <c r="G1114" i="1"/>
  <c r="H1114" i="1"/>
  <c r="F1115" i="1"/>
  <c r="G1115" i="1"/>
  <c r="H1115" i="1"/>
  <c r="F1124" i="1"/>
  <c r="G1124" i="1"/>
  <c r="H1124" i="1"/>
  <c r="F1123" i="1"/>
  <c r="G1123" i="1"/>
  <c r="H1123" i="1"/>
  <c r="F615" i="1"/>
  <c r="G615" i="1"/>
  <c r="H615" i="1"/>
  <c r="F608" i="1"/>
  <c r="G608" i="1"/>
  <c r="H608" i="1"/>
  <c r="F595" i="1"/>
  <c r="G595" i="1"/>
  <c r="H595" i="1"/>
  <c r="F577" i="1"/>
  <c r="G577" i="1"/>
  <c r="H577" i="1"/>
  <c r="F551" i="1"/>
  <c r="G551" i="1"/>
  <c r="H551" i="1"/>
  <c r="F530" i="1"/>
  <c r="G530" i="1"/>
  <c r="H530" i="1"/>
  <c r="F543" i="1"/>
  <c r="G543" i="1"/>
  <c r="H543" i="1"/>
  <c r="F537" i="1"/>
  <c r="G537" i="1"/>
  <c r="H537" i="1"/>
  <c r="F651" i="1"/>
  <c r="G651" i="1"/>
  <c r="H651" i="1"/>
  <c r="F522" i="1"/>
  <c r="G522" i="1"/>
  <c r="H522" i="1"/>
  <c r="H832" i="1"/>
  <c r="G832" i="1"/>
  <c r="F832" i="1"/>
  <c r="F1041" i="1"/>
  <c r="G1041" i="1"/>
  <c r="H1041" i="1"/>
  <c r="F693" i="1"/>
  <c r="G693" i="1"/>
  <c r="H693" i="1"/>
  <c r="F552" i="1"/>
  <c r="G552" i="1"/>
  <c r="H552" i="1"/>
  <c r="F930" i="1"/>
  <c r="G930" i="1"/>
  <c r="H930" i="1"/>
  <c r="F429" i="1"/>
  <c r="G429" i="1"/>
  <c r="H429" i="1"/>
  <c r="F381" i="1"/>
  <c r="G381" i="1"/>
  <c r="H381" i="1"/>
  <c r="F932" i="1"/>
  <c r="G932" i="1"/>
  <c r="H932" i="1"/>
  <c r="F31" i="1"/>
  <c r="G31" i="1"/>
  <c r="H31" i="1"/>
  <c r="F10" i="1"/>
  <c r="G10" i="1"/>
  <c r="H10" i="1"/>
  <c r="F777" i="1"/>
  <c r="G777" i="1"/>
  <c r="H777" i="1"/>
  <c r="F783" i="1"/>
  <c r="G783" i="1"/>
  <c r="H783" i="1"/>
  <c r="F801" i="1"/>
  <c r="G801" i="1"/>
  <c r="H801" i="1"/>
  <c r="F805" i="1"/>
  <c r="G805" i="1"/>
  <c r="H805" i="1"/>
  <c r="F844" i="1"/>
  <c r="G844" i="1"/>
  <c r="H844" i="1"/>
  <c r="F886" i="1"/>
  <c r="G886" i="1"/>
  <c r="H886" i="1"/>
  <c r="F913" i="1"/>
  <c r="G913" i="1"/>
  <c r="H913" i="1"/>
  <c r="F892" i="1"/>
  <c r="G892" i="1"/>
  <c r="H892" i="1"/>
  <c r="F830" i="1"/>
  <c r="G830" i="1"/>
  <c r="H830" i="1"/>
  <c r="F868" i="1"/>
  <c r="G868" i="1"/>
  <c r="H868" i="1"/>
  <c r="F854" i="1"/>
  <c r="G854" i="1"/>
  <c r="H854" i="1"/>
  <c r="F876" i="1"/>
  <c r="G876" i="1"/>
  <c r="H876" i="1"/>
  <c r="F895" i="1"/>
  <c r="G895" i="1"/>
  <c r="H895" i="1"/>
  <c r="F771" i="1"/>
  <c r="G771" i="1"/>
  <c r="H771" i="1"/>
  <c r="F756" i="1"/>
  <c r="G756" i="1"/>
  <c r="H756" i="1"/>
  <c r="F762" i="1"/>
  <c r="G762" i="1"/>
  <c r="H762" i="1"/>
  <c r="F1216" i="1"/>
  <c r="G1216" i="1"/>
  <c r="H1216" i="1"/>
  <c r="F285" i="1"/>
  <c r="G285" i="1"/>
  <c r="H285" i="1"/>
  <c r="F315" i="1"/>
  <c r="G315" i="1"/>
  <c r="H315" i="1"/>
  <c r="F330" i="1"/>
  <c r="G330" i="1"/>
  <c r="H330" i="1"/>
  <c r="F290" i="1"/>
  <c r="G290" i="1"/>
  <c r="H290" i="1"/>
  <c r="F333" i="1"/>
  <c r="G333" i="1"/>
  <c r="H333" i="1"/>
  <c r="F430" i="1"/>
  <c r="G430" i="1"/>
  <c r="H430" i="1"/>
  <c r="F480" i="1"/>
  <c r="G480" i="1"/>
  <c r="H480" i="1"/>
  <c r="F448" i="1"/>
  <c r="G448" i="1"/>
  <c r="H448" i="1"/>
  <c r="F517" i="1"/>
  <c r="G517" i="1"/>
  <c r="H517" i="1"/>
  <c r="F413" i="1"/>
  <c r="G413" i="1"/>
  <c r="H413" i="1"/>
  <c r="F421" i="1"/>
  <c r="G421" i="1"/>
  <c r="H421" i="1"/>
  <c r="F424" i="1"/>
  <c r="G424" i="1"/>
  <c r="H424" i="1"/>
  <c r="F458" i="1"/>
  <c r="G458" i="1"/>
  <c r="H458" i="1"/>
  <c r="F378" i="1"/>
  <c r="G378" i="1"/>
  <c r="H378" i="1"/>
  <c r="F382" i="1"/>
  <c r="G382" i="1"/>
  <c r="H382" i="1"/>
  <c r="F487" i="1"/>
  <c r="G487" i="1"/>
  <c r="H487" i="1"/>
  <c r="F396" i="1"/>
  <c r="G396" i="1"/>
  <c r="H396" i="1"/>
  <c r="F497" i="1"/>
  <c r="G497" i="1"/>
  <c r="H497" i="1"/>
  <c r="F441" i="1"/>
  <c r="G441" i="1"/>
  <c r="H441" i="1"/>
  <c r="F445" i="1"/>
  <c r="G445" i="1"/>
  <c r="H445" i="1"/>
  <c r="F436" i="1"/>
  <c r="G436" i="1"/>
  <c r="H436" i="1"/>
  <c r="F393" i="1"/>
  <c r="G393" i="1"/>
  <c r="H393" i="1"/>
  <c r="F400" i="1"/>
  <c r="G400" i="1"/>
  <c r="H400" i="1"/>
  <c r="F492" i="1"/>
  <c r="G492" i="1"/>
  <c r="H492" i="1"/>
  <c r="F409" i="1"/>
  <c r="G409" i="1"/>
  <c r="H409" i="1"/>
  <c r="F501" i="1"/>
  <c r="G501" i="1"/>
  <c r="H501" i="1"/>
  <c r="F483" i="1"/>
  <c r="G483" i="1"/>
  <c r="H483" i="1"/>
  <c r="F495" i="1"/>
  <c r="G495" i="1"/>
  <c r="H495" i="1"/>
  <c r="F384" i="1"/>
  <c r="G384" i="1"/>
  <c r="H384" i="1"/>
  <c r="F386" i="1"/>
  <c r="G386" i="1"/>
  <c r="H386" i="1"/>
  <c r="F57" i="1"/>
  <c r="G57" i="1"/>
  <c r="H57" i="1"/>
  <c r="F58" i="1"/>
  <c r="G58" i="1"/>
  <c r="H58" i="1"/>
  <c r="F160" i="1"/>
  <c r="G160" i="1"/>
  <c r="H160" i="1"/>
  <c r="F49" i="1"/>
  <c r="G49" i="1"/>
  <c r="H49" i="1"/>
  <c r="F202" i="1"/>
  <c r="G202" i="1"/>
  <c r="H202" i="1"/>
  <c r="F218" i="1"/>
  <c r="G218" i="1"/>
  <c r="H218" i="1"/>
  <c r="F137" i="1"/>
  <c r="G137" i="1"/>
  <c r="H137" i="1"/>
  <c r="F97" i="1"/>
  <c r="G97" i="1"/>
  <c r="H97" i="1"/>
  <c r="F142" i="1"/>
  <c r="G142" i="1"/>
  <c r="H142" i="1"/>
  <c r="F236" i="1"/>
  <c r="G236" i="1"/>
  <c r="H236" i="1"/>
  <c r="F212" i="1"/>
  <c r="G212" i="1"/>
  <c r="H212" i="1"/>
  <c r="F67" i="1"/>
  <c r="G67" i="1"/>
  <c r="H67" i="1"/>
  <c r="F42" i="1"/>
  <c r="G42" i="1"/>
  <c r="H42" i="1"/>
  <c r="F176" i="1"/>
  <c r="G176" i="1"/>
  <c r="H176" i="1"/>
  <c r="F133" i="1"/>
  <c r="G133" i="1"/>
  <c r="H133" i="1"/>
  <c r="F106" i="1"/>
  <c r="G106" i="1"/>
  <c r="H106" i="1"/>
  <c r="F108" i="1"/>
  <c r="G108" i="1"/>
  <c r="H108" i="1"/>
  <c r="F170" i="1"/>
  <c r="G170" i="1"/>
  <c r="H170" i="1"/>
  <c r="F11" i="1"/>
  <c r="G11" i="1"/>
  <c r="H11" i="1"/>
  <c r="F14" i="1"/>
  <c r="G14" i="1"/>
  <c r="H14" i="1"/>
  <c r="F18" i="1"/>
  <c r="G18" i="1"/>
  <c r="H18" i="1"/>
  <c r="F23" i="1"/>
  <c r="G23" i="1"/>
  <c r="H23" i="1"/>
  <c r="F205" i="1"/>
  <c r="G205" i="1"/>
  <c r="H205" i="1"/>
  <c r="F112" i="1"/>
  <c r="G112" i="1"/>
  <c r="H112" i="1"/>
  <c r="F223" i="1"/>
  <c r="G223" i="1"/>
  <c r="H223" i="1"/>
  <c r="F220" i="1"/>
  <c r="G220" i="1"/>
  <c r="H220" i="1"/>
  <c r="F75" i="1"/>
  <c r="G75" i="1"/>
  <c r="H75" i="1"/>
  <c r="F91" i="1"/>
  <c r="G91" i="1"/>
  <c r="H91" i="1"/>
  <c r="F957" i="1"/>
  <c r="G957" i="1"/>
  <c r="H957" i="1"/>
  <c r="F945" i="1"/>
  <c r="G945" i="1"/>
  <c r="H945" i="1"/>
  <c r="F961" i="1"/>
  <c r="G961" i="1"/>
  <c r="H961" i="1"/>
  <c r="F967" i="1"/>
  <c r="G967" i="1"/>
  <c r="H967" i="1"/>
  <c r="F989" i="1"/>
  <c r="G989" i="1"/>
  <c r="H989" i="1"/>
  <c r="F933" i="1"/>
  <c r="G933" i="1"/>
  <c r="H933" i="1"/>
  <c r="F1007" i="1"/>
  <c r="G1007" i="1"/>
  <c r="H1007" i="1"/>
  <c r="F1018" i="1"/>
  <c r="G1018" i="1"/>
  <c r="H1018" i="1"/>
  <c r="F1031" i="1"/>
  <c r="G1031" i="1"/>
  <c r="H1031" i="1"/>
  <c r="F1042" i="1"/>
  <c r="G1042" i="1"/>
  <c r="H1042" i="1"/>
  <c r="F1012" i="1"/>
  <c r="G1012" i="1"/>
  <c r="H1012" i="1"/>
  <c r="F995" i="1"/>
  <c r="G995" i="1"/>
  <c r="H995" i="1"/>
  <c r="F1014" i="1"/>
  <c r="G1014" i="1"/>
  <c r="H1014" i="1"/>
  <c r="F1054" i="1"/>
  <c r="G1054" i="1"/>
  <c r="H1054" i="1"/>
  <c r="F1047" i="1"/>
  <c r="G1047" i="1"/>
  <c r="H1047" i="1"/>
  <c r="F1051" i="1"/>
  <c r="G1051" i="1"/>
  <c r="H1051" i="1"/>
  <c r="F1053" i="1"/>
  <c r="G1053" i="1"/>
  <c r="H1053" i="1"/>
  <c r="F1118" i="1"/>
  <c r="G1118" i="1"/>
  <c r="H1118" i="1"/>
  <c r="F1195" i="1"/>
  <c r="G1195" i="1"/>
  <c r="H1195" i="1"/>
  <c r="F1220" i="1"/>
  <c r="G1220" i="1"/>
  <c r="H1220" i="1"/>
  <c r="F1221" i="1"/>
  <c r="G1221" i="1"/>
  <c r="H1221" i="1"/>
  <c r="F1193" i="1"/>
  <c r="G1193" i="1"/>
  <c r="H1193" i="1"/>
  <c r="F1226" i="1"/>
  <c r="G1226" i="1"/>
  <c r="H1226" i="1"/>
  <c r="F1229" i="1"/>
  <c r="G1229" i="1"/>
  <c r="H1229" i="1"/>
  <c r="F1199" i="1"/>
  <c r="G1199" i="1"/>
  <c r="H1199" i="1"/>
  <c r="F1236" i="1"/>
  <c r="G1236" i="1"/>
  <c r="H1236" i="1"/>
  <c r="F261" i="1"/>
  <c r="G261" i="1"/>
  <c r="H261" i="1"/>
  <c r="F273" i="1"/>
  <c r="G273" i="1"/>
  <c r="H273" i="1"/>
  <c r="F309" i="1"/>
  <c r="G309" i="1"/>
  <c r="H309" i="1"/>
  <c r="F300" i="1"/>
  <c r="G300" i="1"/>
  <c r="H300" i="1"/>
  <c r="F335" i="1"/>
  <c r="G335" i="1"/>
  <c r="H335" i="1"/>
  <c r="F318" i="1"/>
  <c r="G318" i="1"/>
  <c r="H318" i="1"/>
  <c r="F311" i="1"/>
  <c r="G311" i="1"/>
  <c r="H311" i="1"/>
  <c r="F288" i="1"/>
  <c r="G288" i="1"/>
  <c r="H288" i="1"/>
  <c r="F354" i="1"/>
  <c r="G354" i="1"/>
  <c r="H354" i="1"/>
  <c r="F353" i="1"/>
  <c r="G353" i="1"/>
  <c r="H353" i="1"/>
  <c r="F352" i="1"/>
  <c r="G352" i="1"/>
  <c r="H352" i="1"/>
  <c r="F355" i="1"/>
  <c r="G355" i="1"/>
  <c r="H355" i="1"/>
  <c r="F357" i="1"/>
  <c r="G357" i="1"/>
  <c r="H357" i="1"/>
  <c r="F340" i="1"/>
  <c r="G340" i="1"/>
  <c r="H340" i="1"/>
  <c r="F341" i="1"/>
  <c r="G341" i="1"/>
  <c r="H341" i="1"/>
  <c r="F356" i="1"/>
  <c r="G356" i="1"/>
  <c r="H356" i="1"/>
  <c r="F358" i="1"/>
  <c r="G358" i="1"/>
  <c r="H358" i="1"/>
  <c r="F1109" i="1"/>
  <c r="G1109" i="1"/>
  <c r="H1109" i="1"/>
  <c r="F539" i="1"/>
  <c r="G539" i="1"/>
  <c r="H539" i="1"/>
  <c r="F545" i="1"/>
  <c r="G545" i="1"/>
  <c r="H545" i="1"/>
  <c r="F582" i="1"/>
  <c r="G582" i="1"/>
  <c r="H582" i="1"/>
  <c r="F623" i="1"/>
  <c r="G623" i="1"/>
  <c r="H623" i="1"/>
  <c r="F1140" i="1"/>
  <c r="G1140" i="1"/>
  <c r="H1140" i="1"/>
  <c r="F165" i="1"/>
  <c r="G165" i="1"/>
  <c r="H165" i="1"/>
  <c r="F1112" i="1"/>
  <c r="G1112" i="1"/>
  <c r="H1112" i="1"/>
  <c r="F1100" i="1"/>
  <c r="G1100" i="1"/>
  <c r="H1100" i="1"/>
  <c r="F1147" i="1"/>
  <c r="G1147" i="1"/>
  <c r="H1147" i="1"/>
  <c r="F1101" i="1"/>
  <c r="G1101" i="1"/>
  <c r="H1101" i="1"/>
  <c r="F1143" i="1"/>
  <c r="G1143" i="1"/>
  <c r="H1143" i="1"/>
  <c r="F524" i="1"/>
  <c r="G524" i="1"/>
  <c r="H524" i="1"/>
  <c r="F531" i="1"/>
  <c r="G531" i="1"/>
  <c r="H531" i="1"/>
  <c r="F553" i="1"/>
  <c r="G553" i="1"/>
  <c r="H553" i="1"/>
  <c r="F578" i="1"/>
  <c r="G578" i="1"/>
  <c r="H578" i="1"/>
  <c r="F596" i="1"/>
  <c r="G596" i="1"/>
  <c r="H596" i="1"/>
  <c r="F609" i="1"/>
  <c r="G609" i="1"/>
  <c r="H609" i="1"/>
  <c r="F616" i="1"/>
  <c r="G616" i="1"/>
  <c r="H616" i="1"/>
  <c r="F630" i="1"/>
  <c r="G630" i="1"/>
  <c r="H630" i="1"/>
  <c r="F636" i="1"/>
  <c r="G636" i="1"/>
  <c r="H636" i="1"/>
  <c r="F672" i="1"/>
  <c r="G672" i="1"/>
  <c r="H672" i="1"/>
  <c r="F597" i="1"/>
  <c r="G597" i="1"/>
  <c r="H597" i="1"/>
  <c r="F592" i="1"/>
  <c r="G592" i="1"/>
  <c r="H592" i="1"/>
  <c r="F610" i="1"/>
  <c r="G610" i="1"/>
  <c r="H610" i="1"/>
  <c r="F546" i="1"/>
  <c r="G546" i="1"/>
  <c r="H546" i="1"/>
  <c r="F540" i="1"/>
  <c r="G540" i="1"/>
  <c r="H540" i="1"/>
  <c r="F600" i="1"/>
  <c r="G600" i="1"/>
  <c r="H600" i="1"/>
  <c r="F588" i="1"/>
  <c r="G588" i="1"/>
  <c r="H588" i="1"/>
  <c r="F572" i="1"/>
  <c r="G572" i="1"/>
  <c r="H572" i="1"/>
  <c r="F535" i="1"/>
  <c r="G535" i="1"/>
  <c r="H535" i="1"/>
  <c r="F525" i="1"/>
  <c r="G525" i="1"/>
  <c r="H525" i="1"/>
  <c r="F526" i="1"/>
  <c r="G526" i="1"/>
  <c r="H526" i="1"/>
  <c r="F641" i="1"/>
  <c r="G641" i="1"/>
  <c r="H641" i="1"/>
  <c r="F654" i="1"/>
  <c r="G654" i="1"/>
  <c r="H654" i="1"/>
  <c r="F670" i="1"/>
  <c r="G670" i="1"/>
  <c r="H670" i="1"/>
  <c r="F528" i="1"/>
  <c r="G528" i="1"/>
  <c r="H528" i="1"/>
  <c r="F554" i="1"/>
  <c r="G554" i="1"/>
  <c r="H554" i="1"/>
  <c r="F567" i="1"/>
  <c r="G567" i="1"/>
  <c r="H567" i="1"/>
  <c r="F585" i="1"/>
  <c r="G585" i="1"/>
  <c r="H585" i="1"/>
  <c r="F602" i="1"/>
  <c r="G602" i="1"/>
  <c r="H602" i="1"/>
  <c r="F622" i="1"/>
  <c r="G622" i="1"/>
  <c r="H622" i="1"/>
  <c r="F638" i="1"/>
  <c r="G638" i="1"/>
  <c r="H638" i="1"/>
  <c r="F639" i="1"/>
  <c r="G639" i="1"/>
  <c r="H639" i="1"/>
  <c r="F642" i="1"/>
  <c r="G642" i="1"/>
  <c r="H642" i="1"/>
  <c r="F643" i="1"/>
  <c r="G643" i="1"/>
  <c r="H643" i="1"/>
  <c r="F644" i="1"/>
  <c r="G644" i="1"/>
  <c r="H644" i="1"/>
  <c r="F645" i="1"/>
  <c r="G645" i="1"/>
  <c r="H645" i="1"/>
  <c r="F646" i="1"/>
  <c r="G646" i="1"/>
  <c r="H646" i="1"/>
  <c r="F647" i="1"/>
  <c r="G647" i="1"/>
  <c r="H647" i="1"/>
  <c r="F648" i="1"/>
  <c r="G648" i="1"/>
  <c r="H648" i="1"/>
  <c r="F649" i="1"/>
  <c r="G649" i="1"/>
  <c r="H649" i="1"/>
  <c r="F653" i="1"/>
  <c r="G653" i="1"/>
  <c r="H653" i="1"/>
  <c r="F655" i="1"/>
  <c r="G655" i="1"/>
  <c r="H655" i="1"/>
  <c r="F656" i="1"/>
  <c r="G656" i="1"/>
  <c r="H656" i="1"/>
  <c r="F658" i="1"/>
  <c r="G658" i="1"/>
  <c r="H658" i="1"/>
  <c r="F659" i="1"/>
  <c r="G659" i="1"/>
  <c r="H659" i="1"/>
  <c r="F661" i="1"/>
  <c r="G661" i="1"/>
  <c r="H661" i="1"/>
  <c r="F662" i="1"/>
  <c r="G662" i="1"/>
  <c r="H662" i="1"/>
  <c r="F663" i="1"/>
  <c r="G663" i="1"/>
  <c r="H663" i="1"/>
  <c r="F664" i="1"/>
  <c r="G664" i="1"/>
  <c r="H664" i="1"/>
  <c r="F665" i="1"/>
  <c r="G665" i="1"/>
  <c r="H665" i="1"/>
  <c r="F666" i="1"/>
  <c r="G666" i="1"/>
  <c r="H666" i="1"/>
  <c r="F668" i="1"/>
  <c r="G668" i="1"/>
  <c r="H668" i="1"/>
  <c r="F669" i="1"/>
  <c r="G669" i="1"/>
  <c r="H669" i="1"/>
  <c r="F671" i="1"/>
  <c r="G671" i="1"/>
  <c r="H671" i="1"/>
  <c r="F673" i="1"/>
  <c r="G673" i="1"/>
  <c r="H673" i="1"/>
  <c r="F678" i="1"/>
  <c r="G678" i="1"/>
  <c r="H678" i="1"/>
  <c r="F679" i="1"/>
  <c r="G679" i="1"/>
  <c r="H679" i="1"/>
  <c r="F680" i="1"/>
  <c r="G680" i="1"/>
  <c r="H680" i="1"/>
  <c r="F681" i="1"/>
  <c r="G681" i="1"/>
  <c r="H681" i="1"/>
  <c r="F682" i="1"/>
  <c r="G682" i="1"/>
  <c r="H682" i="1"/>
  <c r="F683" i="1"/>
  <c r="G683" i="1"/>
  <c r="H683" i="1"/>
  <c r="F684" i="1"/>
  <c r="G684" i="1"/>
  <c r="H684" i="1"/>
  <c r="F529" i="1"/>
  <c r="G529" i="1"/>
  <c r="H529" i="1"/>
  <c r="F532" i="1"/>
  <c r="G532" i="1"/>
  <c r="H532" i="1"/>
  <c r="F534" i="1"/>
  <c r="G534" i="1"/>
  <c r="H534" i="1"/>
  <c r="F536" i="1"/>
  <c r="G536" i="1"/>
  <c r="H536" i="1"/>
  <c r="F538" i="1"/>
  <c r="G538" i="1"/>
  <c r="H538" i="1"/>
  <c r="F541" i="1"/>
  <c r="G541" i="1"/>
  <c r="H541" i="1"/>
  <c r="F542" i="1"/>
  <c r="G542" i="1"/>
  <c r="H542" i="1"/>
  <c r="F544" i="1"/>
  <c r="G544" i="1"/>
  <c r="H544" i="1"/>
  <c r="F547" i="1"/>
  <c r="G547" i="1"/>
  <c r="H547" i="1"/>
  <c r="F548" i="1"/>
  <c r="G548" i="1"/>
  <c r="H548" i="1"/>
  <c r="F549" i="1"/>
  <c r="G549" i="1"/>
  <c r="H549" i="1"/>
  <c r="F550" i="1"/>
  <c r="G550" i="1"/>
  <c r="H550" i="1"/>
  <c r="F555" i="1"/>
  <c r="G555" i="1"/>
  <c r="H555" i="1"/>
  <c r="F557" i="1"/>
  <c r="G557" i="1"/>
  <c r="H557" i="1"/>
  <c r="F558" i="1"/>
  <c r="G558" i="1"/>
  <c r="H558" i="1"/>
  <c r="F559" i="1"/>
  <c r="G559" i="1"/>
  <c r="H559" i="1"/>
  <c r="F560" i="1"/>
  <c r="G560" i="1"/>
  <c r="H560" i="1"/>
  <c r="F561" i="1"/>
  <c r="G561" i="1"/>
  <c r="H561" i="1"/>
  <c r="F563" i="1"/>
  <c r="G563" i="1"/>
  <c r="H563" i="1"/>
  <c r="F564" i="1"/>
  <c r="G564" i="1"/>
  <c r="H564" i="1"/>
  <c r="F566" i="1"/>
  <c r="G566" i="1"/>
  <c r="H566" i="1"/>
  <c r="F568" i="1"/>
  <c r="G568" i="1"/>
  <c r="H568" i="1"/>
  <c r="F569" i="1"/>
  <c r="G569" i="1"/>
  <c r="H569" i="1"/>
  <c r="F570" i="1"/>
  <c r="G570" i="1"/>
  <c r="H570" i="1"/>
  <c r="F571" i="1"/>
  <c r="G571" i="1"/>
  <c r="H571" i="1"/>
  <c r="F573" i="1"/>
  <c r="G573" i="1"/>
  <c r="H573" i="1"/>
  <c r="F574" i="1"/>
  <c r="G574" i="1"/>
  <c r="H574" i="1"/>
  <c r="F575" i="1"/>
  <c r="G575" i="1"/>
  <c r="H575" i="1"/>
  <c r="F576" i="1"/>
  <c r="G576" i="1"/>
  <c r="H576" i="1"/>
  <c r="F579" i="1"/>
  <c r="G579" i="1"/>
  <c r="H579" i="1"/>
  <c r="F580" i="1"/>
  <c r="G580" i="1"/>
  <c r="H580" i="1"/>
  <c r="F581" i="1"/>
  <c r="G581" i="1"/>
  <c r="H581" i="1"/>
  <c r="F583" i="1"/>
  <c r="G583" i="1"/>
  <c r="H583" i="1"/>
  <c r="F586" i="1"/>
  <c r="G586" i="1"/>
  <c r="H586" i="1"/>
  <c r="F587" i="1"/>
  <c r="G587" i="1"/>
  <c r="H587" i="1"/>
  <c r="F590" i="1"/>
  <c r="G590" i="1"/>
  <c r="H590" i="1"/>
  <c r="F589" i="1"/>
  <c r="G589" i="1"/>
  <c r="H589" i="1"/>
  <c r="F591" i="1"/>
  <c r="G591" i="1"/>
  <c r="H591" i="1"/>
  <c r="F594" i="1"/>
  <c r="G594" i="1"/>
  <c r="H594" i="1"/>
  <c r="F598" i="1"/>
  <c r="G598" i="1"/>
  <c r="H598" i="1"/>
  <c r="F599" i="1"/>
  <c r="G599" i="1"/>
  <c r="H599" i="1"/>
  <c r="F601" i="1"/>
  <c r="G601" i="1"/>
  <c r="H601" i="1"/>
  <c r="F603" i="1"/>
  <c r="G603" i="1"/>
  <c r="H603" i="1"/>
  <c r="F604" i="1"/>
  <c r="G604" i="1"/>
  <c r="H604" i="1"/>
  <c r="F606" i="1"/>
  <c r="G606" i="1"/>
  <c r="H606" i="1"/>
  <c r="F607" i="1"/>
  <c r="G607" i="1"/>
  <c r="H607" i="1"/>
  <c r="F611" i="1"/>
  <c r="G611" i="1"/>
  <c r="H611" i="1"/>
  <c r="F612" i="1"/>
  <c r="G612" i="1"/>
  <c r="H612" i="1"/>
  <c r="F613" i="1"/>
  <c r="G613" i="1"/>
  <c r="H613" i="1"/>
  <c r="F614" i="1"/>
  <c r="G614" i="1"/>
  <c r="H614" i="1"/>
  <c r="F618" i="1"/>
  <c r="G618" i="1"/>
  <c r="H618" i="1"/>
  <c r="F617" i="1"/>
  <c r="G617" i="1"/>
  <c r="H617" i="1"/>
  <c r="F619" i="1"/>
  <c r="G619" i="1"/>
  <c r="H619" i="1"/>
  <c r="F620" i="1"/>
  <c r="G620" i="1"/>
  <c r="H620" i="1"/>
  <c r="F621" i="1"/>
  <c r="G621" i="1"/>
  <c r="H621" i="1"/>
  <c r="F624" i="1"/>
  <c r="G624" i="1"/>
  <c r="H624" i="1"/>
  <c r="F625" i="1"/>
  <c r="G625" i="1"/>
  <c r="H625" i="1"/>
  <c r="F626" i="1"/>
  <c r="G626" i="1"/>
  <c r="H626" i="1"/>
  <c r="F627" i="1"/>
  <c r="G627" i="1"/>
  <c r="H627" i="1"/>
  <c r="F628" i="1"/>
  <c r="G628" i="1"/>
  <c r="H628" i="1"/>
  <c r="F629" i="1"/>
  <c r="G629" i="1"/>
  <c r="H629" i="1"/>
  <c r="F631" i="1"/>
  <c r="G631" i="1"/>
  <c r="H631" i="1"/>
  <c r="F633" i="1"/>
  <c r="G633" i="1"/>
  <c r="H633" i="1"/>
  <c r="F634" i="1"/>
  <c r="G634" i="1"/>
  <c r="H634" i="1"/>
  <c r="F635" i="1"/>
  <c r="G635" i="1"/>
  <c r="H635" i="1"/>
  <c r="F637" i="1"/>
  <c r="G637" i="1"/>
  <c r="H637" i="1"/>
  <c r="F652" i="1"/>
  <c r="G652" i="1"/>
  <c r="H652" i="1"/>
  <c r="F674" i="1"/>
  <c r="G674" i="1"/>
  <c r="H674" i="1"/>
  <c r="F605" i="1"/>
  <c r="G605" i="1"/>
  <c r="H605" i="1"/>
  <c r="F1070" i="1"/>
  <c r="G1070" i="1"/>
  <c r="H1070" i="1"/>
  <c r="F166" i="1"/>
  <c r="G166" i="1"/>
  <c r="H166" i="1"/>
  <c r="F113" i="1"/>
  <c r="G113" i="1"/>
  <c r="H113" i="1"/>
  <c r="F239" i="1"/>
  <c r="G239" i="1"/>
  <c r="H239" i="1"/>
  <c r="F237" i="1"/>
  <c r="G237" i="1"/>
  <c r="H237" i="1"/>
  <c r="F238" i="1"/>
  <c r="G238" i="1"/>
  <c r="H238" i="1"/>
  <c r="F121" i="1"/>
  <c r="G121" i="1"/>
  <c r="H121" i="1"/>
  <c r="F117" i="1"/>
  <c r="G117" i="1"/>
  <c r="H117" i="1"/>
  <c r="F89" i="1"/>
  <c r="G89" i="1"/>
  <c r="H89" i="1"/>
  <c r="F228" i="1"/>
  <c r="G228" i="1"/>
  <c r="H228" i="1"/>
  <c r="F208" i="1"/>
  <c r="G208" i="1"/>
  <c r="H208" i="1"/>
  <c r="F68" i="1"/>
  <c r="G68" i="1"/>
  <c r="H68" i="1"/>
  <c r="F221" i="1"/>
  <c r="G221" i="1"/>
  <c r="H221" i="1"/>
  <c r="F50" i="1"/>
  <c r="G50" i="1"/>
  <c r="H50" i="1"/>
  <c r="F43" i="1"/>
  <c r="G43" i="1"/>
  <c r="H43" i="1"/>
  <c r="F44" i="1"/>
  <c r="G44" i="1"/>
  <c r="H44" i="1"/>
  <c r="F40" i="1"/>
  <c r="G40" i="1"/>
  <c r="H40" i="1"/>
  <c r="F39" i="1"/>
  <c r="G39" i="1"/>
  <c r="H39" i="1"/>
  <c r="F27" i="1"/>
  <c r="G27" i="1"/>
  <c r="H27" i="1"/>
  <c r="F177" i="1"/>
  <c r="G177" i="1"/>
  <c r="H177" i="1"/>
  <c r="F178" i="1"/>
  <c r="G178" i="1"/>
  <c r="H178" i="1"/>
  <c r="F173" i="1"/>
  <c r="G173" i="1"/>
  <c r="H173" i="1"/>
  <c r="F163" i="1"/>
  <c r="G163" i="1"/>
  <c r="H163" i="1"/>
  <c r="F124" i="1"/>
  <c r="G124" i="1"/>
  <c r="H124" i="1"/>
  <c r="F130" i="1"/>
  <c r="G130" i="1"/>
  <c r="H130" i="1"/>
  <c r="F134" i="1"/>
  <c r="G134" i="1"/>
  <c r="H134" i="1"/>
  <c r="F153" i="1"/>
  <c r="G153" i="1"/>
  <c r="H153" i="1"/>
  <c r="F145" i="1"/>
  <c r="G145" i="1"/>
  <c r="H145" i="1"/>
  <c r="F123" i="1"/>
  <c r="G123" i="1"/>
  <c r="H123" i="1"/>
  <c r="F73" i="1"/>
  <c r="G73" i="1"/>
  <c r="H73" i="1"/>
  <c r="F161" i="1"/>
  <c r="G161" i="1"/>
  <c r="H161" i="1"/>
  <c r="F162" i="1"/>
  <c r="G162" i="1"/>
  <c r="H162" i="1"/>
  <c r="F157" i="1"/>
  <c r="G157" i="1"/>
  <c r="H157" i="1"/>
  <c r="F148" i="1"/>
  <c r="G148" i="1"/>
  <c r="H148" i="1"/>
  <c r="F88" i="1"/>
  <c r="G88" i="1"/>
  <c r="H88" i="1"/>
  <c r="F109" i="1"/>
  <c r="G109" i="1"/>
  <c r="H109" i="1"/>
  <c r="F144" i="1"/>
  <c r="G144" i="1"/>
  <c r="H144" i="1"/>
  <c r="F129" i="1"/>
  <c r="G129" i="1"/>
  <c r="H129" i="1"/>
  <c r="F115" i="1"/>
  <c r="G115" i="1"/>
  <c r="H115" i="1"/>
  <c r="F240" i="1"/>
  <c r="G240" i="1"/>
  <c r="H240" i="1"/>
  <c r="F103" i="1"/>
  <c r="G103" i="1"/>
  <c r="H103" i="1"/>
  <c r="F122" i="1"/>
  <c r="G122" i="1"/>
  <c r="H122" i="1"/>
  <c r="F141" i="1"/>
  <c r="G141" i="1"/>
  <c r="H141" i="1"/>
  <c r="F156" i="1"/>
  <c r="G156" i="1"/>
  <c r="H156" i="1"/>
  <c r="F151" i="1"/>
  <c r="G151" i="1"/>
  <c r="H151" i="1"/>
  <c r="F126" i="1"/>
  <c r="G126" i="1"/>
  <c r="H126" i="1"/>
  <c r="F78" i="1"/>
  <c r="G78" i="1"/>
  <c r="H78" i="1"/>
  <c r="F81" i="1"/>
  <c r="G81" i="1"/>
  <c r="H81" i="1"/>
  <c r="F19" i="1"/>
  <c r="G19" i="1"/>
  <c r="H19" i="1"/>
  <c r="F92" i="1"/>
  <c r="G92" i="1"/>
  <c r="H92" i="1"/>
  <c r="F219" i="1"/>
  <c r="G219" i="1"/>
  <c r="H219" i="1"/>
  <c r="F171" i="1"/>
  <c r="G171" i="1"/>
  <c r="H171" i="1"/>
  <c r="F12" i="1"/>
  <c r="G12" i="1"/>
  <c r="H12" i="1"/>
  <c r="F138" i="1"/>
  <c r="G138" i="1"/>
  <c r="H138" i="1"/>
  <c r="F150" i="1"/>
  <c r="G150" i="1"/>
  <c r="H150" i="1"/>
  <c r="F135" i="1"/>
  <c r="G135" i="1"/>
  <c r="H135" i="1"/>
  <c r="F119" i="1"/>
  <c r="G119" i="1"/>
  <c r="H119" i="1"/>
  <c r="F69" i="1"/>
  <c r="G69" i="1"/>
  <c r="H69" i="1"/>
  <c r="F143" i="1"/>
  <c r="G143" i="1"/>
  <c r="H143" i="1"/>
  <c r="F206" i="1"/>
  <c r="G206" i="1"/>
  <c r="H206" i="1"/>
  <c r="F217" i="1"/>
  <c r="G217" i="1"/>
  <c r="H217" i="1"/>
  <c r="F209" i="1"/>
  <c r="G209" i="1"/>
  <c r="H209" i="1"/>
  <c r="F199" i="1"/>
  <c r="G199" i="1"/>
  <c r="H199" i="1"/>
  <c r="F186" i="1"/>
  <c r="G186" i="1"/>
  <c r="H186" i="1"/>
  <c r="F64" i="1"/>
  <c r="G64" i="1"/>
  <c r="H64" i="1"/>
  <c r="F107" i="1"/>
  <c r="G107" i="1"/>
  <c r="H107" i="1"/>
  <c r="F110" i="1"/>
  <c r="G110" i="1"/>
  <c r="H110" i="1"/>
  <c r="F94" i="1"/>
  <c r="G94" i="1"/>
  <c r="H94" i="1"/>
  <c r="F77" i="1"/>
  <c r="G77" i="1"/>
  <c r="H77" i="1"/>
  <c r="F222" i="1"/>
  <c r="G222" i="1"/>
  <c r="H222" i="1"/>
  <c r="F76" i="1"/>
  <c r="G76" i="1"/>
  <c r="H76" i="1"/>
  <c r="F101" i="1"/>
  <c r="G101" i="1"/>
  <c r="H101" i="1"/>
  <c r="F87" i="1"/>
  <c r="G87" i="1"/>
  <c r="H87" i="1"/>
  <c r="F74" i="1"/>
  <c r="G74" i="1"/>
  <c r="H74" i="1"/>
  <c r="F214" i="1"/>
  <c r="G214" i="1"/>
  <c r="H214" i="1"/>
  <c r="F213" i="1"/>
  <c r="G213" i="1"/>
  <c r="H213" i="1"/>
  <c r="F242" i="1"/>
  <c r="G242" i="1"/>
  <c r="H242" i="1"/>
  <c r="F232" i="1"/>
  <c r="G232" i="1"/>
  <c r="H232" i="1"/>
  <c r="F226" i="1"/>
  <c r="G226" i="1"/>
  <c r="H226" i="1"/>
  <c r="F197" i="1"/>
  <c r="G197" i="1"/>
  <c r="H197" i="1"/>
  <c r="F194" i="1"/>
  <c r="G194" i="1"/>
  <c r="H194" i="1"/>
  <c r="F195" i="1"/>
  <c r="G195" i="1"/>
  <c r="H195" i="1"/>
  <c r="F70" i="1"/>
  <c r="G70" i="1"/>
  <c r="H70" i="1"/>
  <c r="F98" i="1"/>
  <c r="G98" i="1"/>
  <c r="H98" i="1"/>
  <c r="F99" i="1"/>
  <c r="G99" i="1"/>
  <c r="H99" i="1"/>
  <c r="F84" i="1"/>
  <c r="G84" i="1"/>
  <c r="H84" i="1"/>
  <c r="F72" i="1"/>
  <c r="G72" i="1"/>
  <c r="H72" i="1"/>
  <c r="F210" i="1"/>
  <c r="G210" i="1"/>
  <c r="H210" i="1"/>
  <c r="F167" i="1"/>
  <c r="G167" i="1"/>
  <c r="H167" i="1"/>
  <c r="F168" i="1"/>
  <c r="G168" i="1"/>
  <c r="H168" i="1"/>
  <c r="F159" i="1"/>
  <c r="G159" i="1"/>
  <c r="H159" i="1"/>
  <c r="F154" i="1"/>
  <c r="G154" i="1"/>
  <c r="H154" i="1"/>
  <c r="F102" i="1"/>
  <c r="G102" i="1"/>
  <c r="H102" i="1"/>
  <c r="F24" i="1"/>
  <c r="G24" i="1"/>
  <c r="H24" i="1"/>
  <c r="F25" i="1"/>
  <c r="G25" i="1"/>
  <c r="H25" i="1"/>
  <c r="F21" i="1"/>
  <c r="G21" i="1"/>
  <c r="H21" i="1"/>
  <c r="F20" i="1"/>
  <c r="G20" i="1"/>
  <c r="H20" i="1"/>
  <c r="F15" i="1"/>
  <c r="G15" i="1"/>
  <c r="H15" i="1"/>
  <c r="F59" i="1"/>
  <c r="G59" i="1"/>
  <c r="H59" i="1"/>
  <c r="F182" i="1"/>
  <c r="G182" i="1"/>
  <c r="H182" i="1"/>
  <c r="F60" i="1"/>
  <c r="G60" i="1"/>
  <c r="H60" i="1"/>
  <c r="F61" i="1"/>
  <c r="G61" i="1"/>
  <c r="H61" i="1"/>
  <c r="F54" i="1"/>
  <c r="G54" i="1"/>
  <c r="H54" i="1"/>
  <c r="F48" i="1"/>
  <c r="G48" i="1"/>
  <c r="H48" i="1"/>
  <c r="F36" i="1"/>
  <c r="G36" i="1"/>
  <c r="H36" i="1"/>
  <c r="F13" i="1"/>
  <c r="G13" i="1"/>
  <c r="H13" i="1"/>
  <c r="F32" i="1"/>
  <c r="G32" i="1"/>
  <c r="H32" i="1"/>
  <c r="F203" i="1"/>
  <c r="G203" i="1"/>
  <c r="H203" i="1"/>
  <c r="F55" i="1"/>
  <c r="G55" i="1"/>
  <c r="H55" i="1"/>
  <c r="F52" i="1"/>
  <c r="G52" i="1"/>
  <c r="H52" i="1"/>
  <c r="F47" i="1"/>
  <c r="G47" i="1"/>
  <c r="H47" i="1"/>
  <c r="F34" i="1"/>
  <c r="G34" i="1"/>
  <c r="H34" i="1"/>
  <c r="F191" i="1"/>
  <c r="G191" i="1"/>
  <c r="H191" i="1"/>
  <c r="F120" i="1"/>
  <c r="G120" i="1"/>
  <c r="H120" i="1"/>
  <c r="F116" i="1"/>
  <c r="G116" i="1"/>
  <c r="H116" i="1"/>
  <c r="F86" i="1"/>
  <c r="G86" i="1"/>
  <c r="H86" i="1"/>
  <c r="F227" i="1"/>
  <c r="G227" i="1"/>
  <c r="H227" i="1"/>
  <c r="F185" i="1"/>
  <c r="G185" i="1"/>
  <c r="H185" i="1"/>
  <c r="F80" i="1"/>
  <c r="G80" i="1"/>
  <c r="H80" i="1"/>
  <c r="F96" i="1"/>
  <c r="G96" i="1"/>
  <c r="H96" i="1"/>
  <c r="F82" i="1"/>
  <c r="G82" i="1"/>
  <c r="H82" i="1"/>
  <c r="F190" i="1"/>
  <c r="G190" i="1"/>
  <c r="H190" i="1"/>
  <c r="F184" i="1"/>
  <c r="G184" i="1"/>
  <c r="H184" i="1"/>
  <c r="F224" i="1"/>
  <c r="G224" i="1"/>
  <c r="H224" i="1"/>
  <c r="F16" i="1"/>
  <c r="G16" i="1"/>
  <c r="H16" i="1"/>
  <c r="F231" i="1"/>
  <c r="G231" i="1"/>
  <c r="H231" i="1"/>
  <c r="F193" i="1"/>
  <c r="G193" i="1"/>
  <c r="H193" i="1"/>
  <c r="F30" i="1"/>
  <c r="G30" i="1"/>
  <c r="H30" i="1"/>
  <c r="F198" i="1"/>
  <c r="G198" i="1"/>
  <c r="H198" i="1"/>
  <c r="F181" i="1"/>
  <c r="G181" i="1"/>
  <c r="H181" i="1"/>
  <c r="F207" i="1"/>
  <c r="G207" i="1"/>
  <c r="H207" i="1"/>
  <c r="F289" i="1"/>
  <c r="G289" i="1"/>
  <c r="H289" i="1"/>
  <c r="F349" i="1"/>
  <c r="G349" i="1"/>
  <c r="H349" i="1"/>
  <c r="F328" i="1"/>
  <c r="G328" i="1"/>
  <c r="H328" i="1"/>
  <c r="F303" i="1"/>
  <c r="G303" i="1"/>
  <c r="H303" i="1"/>
  <c r="F258" i="1"/>
  <c r="G258" i="1"/>
  <c r="H258" i="1"/>
  <c r="F262" i="1"/>
  <c r="G262" i="1"/>
  <c r="H262" i="1"/>
  <c r="F336" i="1"/>
  <c r="G336" i="1"/>
  <c r="H336" i="1"/>
  <c r="F338" i="1"/>
  <c r="G338" i="1"/>
  <c r="H338" i="1"/>
  <c r="F276" i="1"/>
  <c r="G276" i="1"/>
  <c r="H276" i="1"/>
  <c r="F281" i="1"/>
  <c r="G281" i="1"/>
  <c r="H281" i="1"/>
  <c r="F359" i="1"/>
  <c r="G359" i="1"/>
  <c r="H359" i="1"/>
  <c r="F331" i="1"/>
  <c r="G331" i="1"/>
  <c r="H331" i="1"/>
  <c r="F305" i="1"/>
  <c r="G305" i="1"/>
  <c r="H305" i="1"/>
  <c r="F260" i="1"/>
  <c r="G260" i="1"/>
  <c r="H260" i="1"/>
  <c r="F367" i="1"/>
  <c r="G367" i="1"/>
  <c r="H367" i="1"/>
  <c r="F319" i="1"/>
  <c r="G319" i="1"/>
  <c r="H319" i="1"/>
  <c r="F351" i="1"/>
  <c r="G351" i="1"/>
  <c r="H351" i="1"/>
  <c r="F329" i="1"/>
  <c r="G329" i="1"/>
  <c r="H329" i="1"/>
  <c r="F304" i="1"/>
  <c r="G304" i="1"/>
  <c r="H304" i="1"/>
  <c r="F259" i="1"/>
  <c r="G259" i="1"/>
  <c r="H259" i="1"/>
  <c r="F366" i="1"/>
  <c r="G366" i="1"/>
  <c r="H366" i="1"/>
  <c r="F310" i="1"/>
  <c r="G310" i="1"/>
  <c r="H310" i="1"/>
  <c r="F346" i="1"/>
  <c r="G346" i="1"/>
  <c r="H346" i="1"/>
  <c r="F326" i="1"/>
  <c r="G326" i="1"/>
  <c r="H326" i="1"/>
  <c r="F299" i="1"/>
  <c r="G299" i="1"/>
  <c r="H299" i="1"/>
  <c r="F263" i="1"/>
  <c r="G263" i="1"/>
  <c r="H263" i="1"/>
  <c r="F301" i="1"/>
  <c r="G301" i="1"/>
  <c r="H301" i="1"/>
  <c r="F312" i="1"/>
  <c r="G312" i="1"/>
  <c r="H312" i="1"/>
  <c r="F348" i="1"/>
  <c r="G348" i="1"/>
  <c r="H348" i="1"/>
  <c r="F327" i="1"/>
  <c r="G327" i="1"/>
  <c r="H327" i="1"/>
  <c r="F302" i="1"/>
  <c r="G302" i="1"/>
  <c r="H302" i="1"/>
  <c r="F264" i="1"/>
  <c r="G264" i="1"/>
  <c r="H264" i="1"/>
  <c r="F268" i="1"/>
  <c r="G268" i="1"/>
  <c r="H268" i="1"/>
  <c r="F253" i="1"/>
  <c r="G253" i="1"/>
  <c r="H253" i="1"/>
  <c r="F254" i="1"/>
  <c r="G254" i="1"/>
  <c r="H254" i="1"/>
  <c r="F280" i="1"/>
  <c r="G280" i="1"/>
  <c r="H280" i="1"/>
  <c r="F324" i="1"/>
  <c r="G324" i="1"/>
  <c r="H324" i="1"/>
  <c r="F245" i="1"/>
  <c r="G245" i="1"/>
  <c r="H245" i="1"/>
  <c r="F265" i="1"/>
  <c r="G265" i="1"/>
  <c r="H265" i="1"/>
  <c r="F316" i="1"/>
  <c r="G316" i="1"/>
  <c r="H316" i="1"/>
  <c r="F368" i="1"/>
  <c r="G368" i="1"/>
  <c r="H368" i="1"/>
  <c r="F494" i="1"/>
  <c r="G494" i="1"/>
  <c r="H494" i="1"/>
  <c r="F379" i="1"/>
  <c r="G379" i="1"/>
  <c r="H379" i="1"/>
  <c r="F508" i="1"/>
  <c r="G508" i="1"/>
  <c r="H508" i="1"/>
  <c r="F464" i="1"/>
  <c r="G464" i="1"/>
  <c r="H464" i="1"/>
  <c r="F518" i="1"/>
  <c r="G518" i="1"/>
  <c r="H518" i="1"/>
  <c r="F469" i="1"/>
  <c r="G469" i="1"/>
  <c r="H469" i="1"/>
  <c r="F463" i="1"/>
  <c r="G463" i="1"/>
  <c r="H463" i="1"/>
  <c r="F455" i="1"/>
  <c r="G455" i="1"/>
  <c r="H455" i="1"/>
  <c r="F416" i="1"/>
  <c r="G416" i="1"/>
  <c r="H416" i="1"/>
  <c r="F431" i="1"/>
  <c r="G431" i="1"/>
  <c r="H431" i="1"/>
  <c r="F437" i="1"/>
  <c r="G437" i="1"/>
  <c r="H437" i="1"/>
  <c r="F467" i="1"/>
  <c r="G467" i="1"/>
  <c r="H467" i="1"/>
  <c r="F462" i="1"/>
  <c r="G462" i="1"/>
  <c r="H462" i="1"/>
  <c r="F452" i="1"/>
  <c r="G452" i="1"/>
  <c r="H452" i="1"/>
  <c r="F410" i="1"/>
  <c r="G410" i="1"/>
  <c r="H410" i="1"/>
  <c r="F488" i="1"/>
  <c r="G488" i="1"/>
  <c r="H488" i="1"/>
  <c r="F459" i="1"/>
  <c r="G459" i="1"/>
  <c r="H459" i="1"/>
  <c r="F422" i="1"/>
  <c r="G422" i="1"/>
  <c r="H422" i="1"/>
  <c r="F484" i="1"/>
  <c r="G484" i="1"/>
  <c r="H484" i="1"/>
  <c r="F498" i="1"/>
  <c r="G498" i="1"/>
  <c r="H498" i="1"/>
  <c r="F502" i="1"/>
  <c r="G502" i="1"/>
  <c r="H502" i="1"/>
  <c r="F394" i="1"/>
  <c r="G394" i="1"/>
  <c r="H394" i="1"/>
  <c r="F478" i="1"/>
  <c r="G478" i="1"/>
  <c r="H478" i="1"/>
  <c r="F414" i="1"/>
  <c r="G414" i="1"/>
  <c r="H414" i="1"/>
  <c r="F466" i="1"/>
  <c r="G466" i="1"/>
  <c r="H466" i="1"/>
  <c r="F461" i="1"/>
  <c r="G461" i="1"/>
  <c r="H461" i="1"/>
  <c r="F449" i="1"/>
  <c r="G449" i="1"/>
  <c r="H449" i="1"/>
  <c r="F411" i="1"/>
  <c r="G411" i="1"/>
  <c r="H411" i="1"/>
  <c r="F446" i="1"/>
  <c r="G446" i="1"/>
  <c r="H446" i="1"/>
  <c r="F451" i="1"/>
  <c r="G451" i="1"/>
  <c r="H451" i="1"/>
  <c r="F442" i="1"/>
  <c r="G442" i="1"/>
  <c r="H442" i="1"/>
  <c r="F420" i="1"/>
  <c r="G420" i="1"/>
  <c r="H420" i="1"/>
  <c r="F514" i="1"/>
  <c r="G514" i="1"/>
  <c r="H514" i="1"/>
  <c r="F493" i="1"/>
  <c r="G493" i="1"/>
  <c r="H493" i="1"/>
  <c r="F515" i="1"/>
  <c r="G515" i="1"/>
  <c r="H515" i="1"/>
  <c r="F509" i="1"/>
  <c r="G509" i="1"/>
  <c r="H509" i="1"/>
  <c r="F505" i="1"/>
  <c r="G505" i="1"/>
  <c r="H505" i="1"/>
  <c r="F401" i="1"/>
  <c r="G401" i="1"/>
  <c r="H401" i="1"/>
  <c r="F402" i="1"/>
  <c r="G402" i="1"/>
  <c r="H402" i="1"/>
  <c r="F392" i="1"/>
  <c r="G392" i="1"/>
  <c r="H392" i="1"/>
  <c r="F390" i="1"/>
  <c r="G390" i="1"/>
  <c r="H390" i="1"/>
  <c r="F387" i="1"/>
  <c r="G387" i="1"/>
  <c r="H387" i="1"/>
  <c r="F450" i="1"/>
  <c r="G450" i="1"/>
  <c r="H450" i="1"/>
  <c r="F425" i="1"/>
  <c r="G425" i="1"/>
  <c r="H425" i="1"/>
  <c r="F426" i="1"/>
  <c r="G426" i="1"/>
  <c r="H426" i="1"/>
  <c r="F417" i="1"/>
  <c r="G417" i="1"/>
  <c r="H417" i="1"/>
  <c r="F408" i="1"/>
  <c r="G408" i="1"/>
  <c r="H408" i="1"/>
  <c r="F506" i="1"/>
  <c r="G506" i="1"/>
  <c r="H506" i="1"/>
  <c r="F397" i="1"/>
  <c r="G397" i="1"/>
  <c r="H397" i="1"/>
  <c r="F383" i="1"/>
  <c r="G383" i="1"/>
  <c r="H383" i="1"/>
  <c r="F398" i="1"/>
  <c r="G398" i="1"/>
  <c r="H398" i="1"/>
  <c r="F399" i="1"/>
  <c r="G399" i="1"/>
  <c r="H399" i="1"/>
  <c r="F391" i="1"/>
  <c r="G391" i="1"/>
  <c r="H391" i="1"/>
  <c r="F389" i="1"/>
  <c r="G389" i="1"/>
  <c r="H389" i="1"/>
  <c r="F385" i="1"/>
  <c r="G385" i="1"/>
  <c r="H385" i="1"/>
  <c r="F477" i="1"/>
  <c r="G477" i="1"/>
  <c r="H477" i="1"/>
  <c r="F479" i="1"/>
  <c r="G479" i="1"/>
  <c r="H479" i="1"/>
  <c r="F476" i="1"/>
  <c r="G476" i="1"/>
  <c r="H476" i="1"/>
  <c r="F471" i="1"/>
  <c r="G471" i="1"/>
  <c r="H471" i="1"/>
  <c r="F433" i="1"/>
  <c r="G433" i="1"/>
  <c r="H433" i="1"/>
  <c r="F512" i="1"/>
  <c r="G512" i="1"/>
  <c r="H512" i="1"/>
  <c r="F472" i="1"/>
  <c r="G472" i="1"/>
  <c r="H472" i="1"/>
  <c r="F434" i="1"/>
  <c r="G434" i="1"/>
  <c r="H434" i="1"/>
  <c r="F490" i="1"/>
  <c r="G490" i="1"/>
  <c r="H490" i="1"/>
  <c r="F474" i="1"/>
  <c r="G474" i="1"/>
  <c r="H474" i="1"/>
  <c r="F504" i="1"/>
  <c r="G504" i="1"/>
  <c r="H504" i="1"/>
  <c r="F427" i="1"/>
  <c r="G427" i="1"/>
  <c r="H427" i="1"/>
  <c r="F438" i="1"/>
  <c r="G438" i="1"/>
  <c r="H438" i="1"/>
  <c r="F489" i="1"/>
  <c r="G489" i="1"/>
  <c r="H489" i="1"/>
  <c r="F403" i="1"/>
  <c r="G403" i="1"/>
  <c r="H403" i="1"/>
  <c r="F519" i="1"/>
  <c r="G519" i="1"/>
  <c r="H519" i="1"/>
  <c r="F468" i="1"/>
  <c r="G468" i="1"/>
  <c r="H468" i="1"/>
  <c r="F757" i="1"/>
  <c r="G757" i="1"/>
  <c r="H757" i="1"/>
  <c r="F751" i="1"/>
  <c r="G751" i="1"/>
  <c r="H751" i="1"/>
  <c r="F733" i="1"/>
  <c r="G733" i="1"/>
  <c r="H733" i="1"/>
  <c r="F720" i="1"/>
  <c r="G720" i="1"/>
  <c r="H720" i="1"/>
  <c r="F711" i="1"/>
  <c r="G711" i="1"/>
  <c r="H711" i="1"/>
  <c r="F729" i="1"/>
  <c r="G729" i="1"/>
  <c r="H729" i="1"/>
  <c r="F740" i="1"/>
  <c r="G740" i="1"/>
  <c r="H740" i="1"/>
  <c r="F760" i="1"/>
  <c r="G760" i="1"/>
  <c r="H760" i="1"/>
  <c r="F761" i="1"/>
  <c r="G761" i="1"/>
  <c r="H761" i="1"/>
  <c r="F736" i="1"/>
  <c r="G736" i="1"/>
  <c r="H736" i="1"/>
  <c r="F723" i="1"/>
  <c r="G723" i="1"/>
  <c r="H723" i="1"/>
  <c r="F714" i="1"/>
  <c r="G714" i="1"/>
  <c r="H714" i="1"/>
  <c r="F765" i="1"/>
  <c r="G765" i="1"/>
  <c r="H765" i="1"/>
  <c r="F766" i="1"/>
  <c r="G766" i="1"/>
  <c r="H766" i="1"/>
  <c r="F738" i="1"/>
  <c r="G738" i="1"/>
  <c r="H738" i="1"/>
  <c r="F725" i="1"/>
  <c r="G725" i="1"/>
  <c r="H725" i="1"/>
  <c r="F708" i="1"/>
  <c r="G708" i="1"/>
  <c r="H708" i="1"/>
  <c r="F767" i="1"/>
  <c r="G767" i="1"/>
  <c r="H767" i="1"/>
  <c r="F768" i="1"/>
  <c r="G768" i="1"/>
  <c r="H768" i="1"/>
  <c r="F739" i="1"/>
  <c r="G739" i="1"/>
  <c r="H739" i="1"/>
  <c r="F726" i="1"/>
  <c r="G726" i="1"/>
  <c r="H726" i="1"/>
  <c r="F709" i="1"/>
  <c r="G709" i="1"/>
  <c r="H709" i="1"/>
  <c r="F752" i="1"/>
  <c r="G752" i="1"/>
  <c r="H752" i="1"/>
  <c r="F754" i="1"/>
  <c r="G754" i="1"/>
  <c r="H754" i="1"/>
  <c r="F750" i="1"/>
  <c r="G750" i="1"/>
  <c r="H750" i="1"/>
  <c r="F732" i="1"/>
  <c r="G732" i="1"/>
  <c r="H732" i="1"/>
  <c r="F727" i="1"/>
  <c r="G727" i="1"/>
  <c r="H727" i="1"/>
  <c r="F710" i="1"/>
  <c r="G710" i="1"/>
  <c r="H710" i="1"/>
  <c r="F741" i="1"/>
  <c r="G741" i="1"/>
  <c r="H741" i="1"/>
  <c r="F742" i="1"/>
  <c r="G742" i="1"/>
  <c r="H742" i="1"/>
  <c r="F728" i="1"/>
  <c r="G728" i="1"/>
  <c r="H728" i="1"/>
  <c r="F718" i="1"/>
  <c r="G718" i="1"/>
  <c r="H718" i="1"/>
  <c r="F707" i="1"/>
  <c r="G707" i="1"/>
  <c r="H707" i="1"/>
  <c r="F763" i="1"/>
  <c r="G763" i="1"/>
  <c r="H763" i="1"/>
  <c r="F764" i="1"/>
  <c r="G764" i="1"/>
  <c r="H764" i="1"/>
  <c r="F737" i="1"/>
  <c r="G737" i="1"/>
  <c r="H737" i="1"/>
  <c r="F724" i="1"/>
  <c r="G724" i="1"/>
  <c r="H724" i="1"/>
  <c r="F715" i="1"/>
  <c r="G715" i="1"/>
  <c r="H715" i="1"/>
  <c r="F743" i="1"/>
  <c r="G743" i="1"/>
  <c r="H743" i="1"/>
  <c r="F759" i="1"/>
  <c r="G759" i="1"/>
  <c r="H759" i="1"/>
  <c r="F735" i="1"/>
  <c r="G735" i="1"/>
  <c r="H735" i="1"/>
  <c r="F722" i="1"/>
  <c r="G722" i="1"/>
  <c r="H722" i="1"/>
  <c r="F713" i="1"/>
  <c r="G713" i="1"/>
  <c r="H713" i="1"/>
  <c r="F717" i="1"/>
  <c r="G717" i="1"/>
  <c r="H717" i="1"/>
  <c r="F755" i="1"/>
  <c r="G755" i="1"/>
  <c r="H755" i="1"/>
  <c r="F734" i="1"/>
  <c r="G734" i="1"/>
  <c r="H734" i="1"/>
  <c r="F721" i="1"/>
  <c r="G721" i="1"/>
  <c r="H721" i="1"/>
  <c r="F712" i="1"/>
  <c r="G712" i="1"/>
  <c r="H712" i="1"/>
  <c r="F716" i="1"/>
  <c r="G716" i="1"/>
  <c r="H716" i="1"/>
  <c r="F753" i="1"/>
  <c r="G753" i="1"/>
  <c r="H753" i="1"/>
  <c r="F769" i="1"/>
  <c r="G769" i="1"/>
  <c r="H769" i="1"/>
  <c r="F903" i="1"/>
  <c r="G903" i="1"/>
  <c r="H903" i="1"/>
  <c r="F904" i="1"/>
  <c r="G904" i="1"/>
  <c r="H904" i="1"/>
  <c r="F860" i="1"/>
  <c r="G860" i="1"/>
  <c r="H860" i="1"/>
  <c r="F823" i="1"/>
  <c r="G823" i="1"/>
  <c r="H823" i="1"/>
  <c r="F785" i="1"/>
  <c r="G785" i="1"/>
  <c r="H785" i="1"/>
  <c r="F889" i="1"/>
  <c r="G889" i="1"/>
  <c r="H889" i="1"/>
  <c r="F891" i="1"/>
  <c r="G891" i="1"/>
  <c r="H891" i="1"/>
  <c r="F856" i="1"/>
  <c r="G856" i="1"/>
  <c r="H856" i="1"/>
  <c r="F833" i="1"/>
  <c r="G833" i="1"/>
  <c r="H833" i="1"/>
  <c r="F792" i="1"/>
  <c r="G792" i="1"/>
  <c r="H792" i="1"/>
  <c r="F831" i="1"/>
  <c r="G831" i="1"/>
  <c r="H831" i="1"/>
  <c r="F890" i="1"/>
  <c r="G890" i="1"/>
  <c r="H890" i="1"/>
  <c r="F866" i="1"/>
  <c r="G866" i="1"/>
  <c r="H866" i="1"/>
  <c r="F829" i="1"/>
  <c r="G829" i="1"/>
  <c r="H829" i="1"/>
  <c r="F791" i="1"/>
  <c r="G791" i="1"/>
  <c r="H791" i="1"/>
  <c r="F899" i="1"/>
  <c r="G899" i="1"/>
  <c r="H899" i="1"/>
  <c r="F897" i="1"/>
  <c r="G897" i="1"/>
  <c r="H897" i="1"/>
  <c r="F858" i="1"/>
  <c r="G858" i="1"/>
  <c r="H858" i="1"/>
  <c r="F821" i="1"/>
  <c r="G821" i="1"/>
  <c r="H821" i="1"/>
  <c r="F794" i="1"/>
  <c r="G794" i="1"/>
  <c r="H794" i="1"/>
  <c r="F814" i="1"/>
  <c r="G814" i="1"/>
  <c r="H814" i="1"/>
  <c r="F905" i="1"/>
  <c r="G905" i="1"/>
  <c r="H905" i="1"/>
  <c r="F906" i="1"/>
  <c r="G906" i="1"/>
  <c r="H906" i="1"/>
  <c r="F861" i="1"/>
  <c r="G861" i="1"/>
  <c r="H861" i="1"/>
  <c r="F824" i="1"/>
  <c r="G824" i="1"/>
  <c r="H824" i="1"/>
  <c r="F786" i="1"/>
  <c r="G786" i="1"/>
  <c r="H786" i="1"/>
  <c r="F910" i="1"/>
  <c r="G910" i="1"/>
  <c r="H910" i="1"/>
  <c r="F911" i="1"/>
  <c r="G911" i="1"/>
  <c r="H911" i="1"/>
  <c r="F864" i="1"/>
  <c r="G864" i="1"/>
  <c r="H864" i="1"/>
  <c r="F827" i="1"/>
  <c r="G827" i="1"/>
  <c r="H827" i="1"/>
  <c r="F789" i="1"/>
  <c r="G789" i="1"/>
  <c r="H789" i="1"/>
  <c r="F840" i="1"/>
  <c r="G840" i="1"/>
  <c r="H840" i="1"/>
  <c r="F894" i="1"/>
  <c r="G894" i="1"/>
  <c r="H894" i="1"/>
  <c r="F857" i="1"/>
  <c r="G857" i="1"/>
  <c r="H857" i="1"/>
  <c r="F820" i="1"/>
  <c r="G820" i="1"/>
  <c r="H820" i="1"/>
  <c r="F793" i="1"/>
  <c r="G793" i="1"/>
  <c r="H793" i="1"/>
  <c r="F835" i="1"/>
  <c r="G835" i="1"/>
  <c r="H835" i="1"/>
  <c r="F909" i="1"/>
  <c r="G909" i="1"/>
  <c r="H909" i="1"/>
  <c r="F863" i="1"/>
  <c r="G863" i="1"/>
  <c r="H863" i="1"/>
  <c r="F826" i="1"/>
  <c r="G826" i="1"/>
  <c r="H826" i="1"/>
  <c r="F788" i="1"/>
  <c r="G788" i="1"/>
  <c r="H788" i="1"/>
  <c r="F806" i="1"/>
  <c r="G806" i="1"/>
  <c r="H806" i="1"/>
  <c r="F908" i="1"/>
  <c r="G908" i="1"/>
  <c r="H908" i="1"/>
  <c r="F862" i="1"/>
  <c r="G862" i="1"/>
  <c r="H862" i="1"/>
  <c r="F825" i="1"/>
  <c r="G825" i="1"/>
  <c r="H825" i="1"/>
  <c r="F787" i="1"/>
  <c r="G787" i="1"/>
  <c r="H787" i="1"/>
  <c r="F902" i="1"/>
  <c r="G902" i="1"/>
  <c r="H902" i="1"/>
  <c r="F898" i="1"/>
  <c r="G898" i="1"/>
  <c r="H898" i="1"/>
  <c r="F859" i="1"/>
  <c r="G859" i="1"/>
  <c r="H859" i="1"/>
  <c r="F822" i="1"/>
  <c r="G822" i="1"/>
  <c r="H822" i="1"/>
  <c r="F795" i="1"/>
  <c r="G795" i="1"/>
  <c r="H795" i="1"/>
  <c r="F871" i="1"/>
  <c r="G871" i="1"/>
  <c r="H871" i="1"/>
  <c r="F836" i="1"/>
  <c r="G836" i="1"/>
  <c r="H836" i="1"/>
  <c r="F816" i="1"/>
  <c r="G816" i="1"/>
  <c r="H816" i="1"/>
  <c r="F887" i="1"/>
  <c r="G887" i="1"/>
  <c r="H887" i="1"/>
  <c r="F888" i="1"/>
  <c r="G888" i="1"/>
  <c r="H888" i="1"/>
  <c r="F855" i="1"/>
  <c r="G855" i="1"/>
  <c r="H855" i="1"/>
  <c r="F819" i="1"/>
  <c r="G819" i="1"/>
  <c r="H819" i="1"/>
  <c r="F784" i="1"/>
  <c r="G784" i="1"/>
  <c r="H784" i="1"/>
  <c r="F914" i="1"/>
  <c r="G914" i="1"/>
  <c r="H914" i="1"/>
  <c r="F915" i="1"/>
  <c r="G915" i="1"/>
  <c r="H915" i="1"/>
  <c r="F865" i="1"/>
  <c r="G865" i="1"/>
  <c r="H865" i="1"/>
  <c r="F828" i="1"/>
  <c r="G828" i="1"/>
  <c r="H828" i="1"/>
  <c r="F790" i="1"/>
  <c r="G790" i="1"/>
  <c r="H790" i="1"/>
  <c r="F780" i="1"/>
  <c r="G780" i="1"/>
  <c r="H780" i="1"/>
  <c r="F798" i="1"/>
  <c r="G798" i="1"/>
  <c r="H798" i="1"/>
  <c r="F872" i="1"/>
  <c r="G872" i="1"/>
  <c r="H872" i="1"/>
  <c r="F809" i="1"/>
  <c r="G809" i="1"/>
  <c r="H809" i="1"/>
  <c r="F775" i="1"/>
  <c r="G775" i="1"/>
  <c r="H775" i="1"/>
  <c r="F797" i="1"/>
  <c r="G797" i="1"/>
  <c r="H797" i="1"/>
  <c r="F907" i="1"/>
  <c r="G907" i="1"/>
  <c r="H907" i="1"/>
  <c r="F850" i="1"/>
  <c r="G850" i="1"/>
  <c r="H850" i="1"/>
  <c r="F810" i="1"/>
  <c r="G810" i="1"/>
  <c r="H810" i="1"/>
  <c r="F968" i="1"/>
  <c r="G968" i="1"/>
  <c r="H968" i="1"/>
  <c r="F993" i="1"/>
  <c r="G993" i="1"/>
  <c r="H993" i="1"/>
  <c r="F983" i="1"/>
  <c r="G983" i="1"/>
  <c r="H983" i="1"/>
  <c r="F971" i="1"/>
  <c r="G971" i="1"/>
  <c r="H971" i="1"/>
  <c r="F920" i="1"/>
  <c r="G920" i="1"/>
  <c r="H920" i="1"/>
  <c r="F962" i="1"/>
  <c r="G962" i="1"/>
  <c r="H962" i="1"/>
  <c r="F1057" i="1"/>
  <c r="G1057" i="1"/>
  <c r="H1057" i="1"/>
  <c r="F1058" i="1"/>
  <c r="G1058" i="1"/>
  <c r="H1058" i="1"/>
  <c r="F1035" i="1"/>
  <c r="G1035" i="1"/>
  <c r="H1035" i="1"/>
  <c r="F1002" i="1"/>
  <c r="G1002" i="1"/>
  <c r="H1002" i="1"/>
  <c r="F949" i="1"/>
  <c r="G949" i="1"/>
  <c r="H949" i="1"/>
  <c r="F990" i="1"/>
  <c r="G990" i="1"/>
  <c r="H990" i="1"/>
  <c r="F1023" i="1"/>
  <c r="G1023" i="1"/>
  <c r="H1023" i="1"/>
  <c r="F1004" i="1"/>
  <c r="G1004" i="1"/>
  <c r="H1004" i="1"/>
  <c r="F985" i="1"/>
  <c r="G985" i="1"/>
  <c r="H985" i="1"/>
  <c r="F926" i="1"/>
  <c r="G926" i="1"/>
  <c r="H926" i="1"/>
  <c r="F958" i="1"/>
  <c r="G958" i="1"/>
  <c r="H958" i="1"/>
  <c r="F959" i="1"/>
  <c r="G959" i="1"/>
  <c r="H959" i="1"/>
  <c r="F979" i="1"/>
  <c r="G979" i="1"/>
  <c r="H979" i="1"/>
  <c r="F969" i="1"/>
  <c r="G969" i="1"/>
  <c r="H969" i="1"/>
  <c r="F975" i="1"/>
  <c r="G975" i="1"/>
  <c r="H975" i="1"/>
  <c r="F941" i="1"/>
  <c r="G941" i="1"/>
  <c r="H941" i="1"/>
  <c r="F1068" i="1"/>
  <c r="G1068" i="1"/>
  <c r="H1068" i="1"/>
  <c r="F1025" i="1"/>
  <c r="G1025" i="1"/>
  <c r="H1025" i="1"/>
  <c r="F1043" i="1"/>
  <c r="G1043" i="1"/>
  <c r="H1043" i="1"/>
  <c r="F1044" i="1"/>
  <c r="G1044" i="1"/>
  <c r="H1044" i="1"/>
  <c r="F1045" i="1"/>
  <c r="G1045" i="1"/>
  <c r="H1045" i="1"/>
  <c r="F1029" i="1"/>
  <c r="G1029" i="1"/>
  <c r="H1029" i="1"/>
  <c r="F998" i="1"/>
  <c r="G998" i="1"/>
  <c r="H998" i="1"/>
  <c r="F946" i="1"/>
  <c r="G946" i="1"/>
  <c r="H946" i="1"/>
  <c r="F982" i="1"/>
  <c r="G982" i="1"/>
  <c r="H982" i="1"/>
  <c r="F1059" i="1"/>
  <c r="G1059" i="1"/>
  <c r="H1059" i="1"/>
  <c r="F1036" i="1"/>
  <c r="G1036" i="1"/>
  <c r="H1036" i="1"/>
  <c r="F1003" i="1"/>
  <c r="G1003" i="1"/>
  <c r="H1003" i="1"/>
  <c r="F950" i="1"/>
  <c r="G950" i="1"/>
  <c r="H950" i="1"/>
  <c r="F1013" i="1"/>
  <c r="G1013" i="1"/>
  <c r="H1013" i="1"/>
  <c r="F1016" i="1"/>
  <c r="G1016" i="1"/>
  <c r="H1016" i="1"/>
  <c r="F1049" i="1"/>
  <c r="G1049" i="1"/>
  <c r="H1049" i="1"/>
  <c r="F1030" i="1"/>
  <c r="G1030" i="1"/>
  <c r="H1030" i="1"/>
  <c r="F999" i="1"/>
  <c r="G999" i="1"/>
  <c r="H999" i="1"/>
  <c r="F951" i="1"/>
  <c r="G951" i="1"/>
  <c r="H951" i="1"/>
  <c r="F1019" i="1"/>
  <c r="G1019" i="1"/>
  <c r="H1019" i="1"/>
  <c r="F1052" i="1"/>
  <c r="G1052" i="1"/>
  <c r="H1052" i="1"/>
  <c r="F1033" i="1"/>
  <c r="G1033" i="1"/>
  <c r="H1033" i="1"/>
  <c r="F1000" i="1"/>
  <c r="G1000" i="1"/>
  <c r="H1000" i="1"/>
  <c r="F947" i="1"/>
  <c r="G947" i="1"/>
  <c r="H947" i="1"/>
  <c r="F965" i="1"/>
  <c r="G965" i="1"/>
  <c r="H965" i="1"/>
  <c r="F977" i="1"/>
  <c r="G977" i="1"/>
  <c r="H977" i="1"/>
  <c r="F934" i="1"/>
  <c r="G934" i="1"/>
  <c r="H934" i="1"/>
  <c r="F972" i="1"/>
  <c r="G972" i="1"/>
  <c r="H972" i="1"/>
  <c r="F954" i="1"/>
  <c r="G954" i="1"/>
  <c r="H954" i="1"/>
  <c r="F928" i="1"/>
  <c r="G928" i="1"/>
  <c r="H928" i="1"/>
  <c r="F1064" i="1"/>
  <c r="G1064" i="1"/>
  <c r="H1064" i="1"/>
  <c r="F1008" i="1"/>
  <c r="G1008" i="1"/>
  <c r="H1008" i="1"/>
  <c r="F1056" i="1"/>
  <c r="G1056" i="1"/>
  <c r="H1056" i="1"/>
  <c r="F1034" i="1"/>
  <c r="G1034" i="1"/>
  <c r="H1034" i="1"/>
  <c r="F1001" i="1"/>
  <c r="G1001" i="1"/>
  <c r="H1001" i="1"/>
  <c r="F948" i="1"/>
  <c r="G948" i="1"/>
  <c r="H948" i="1"/>
  <c r="F1032" i="1"/>
  <c r="G1032" i="1"/>
  <c r="H1032" i="1"/>
  <c r="F976" i="1"/>
  <c r="G976" i="1"/>
  <c r="H976" i="1"/>
  <c r="F938" i="1"/>
  <c r="G938" i="1"/>
  <c r="H938" i="1"/>
  <c r="F931" i="1"/>
  <c r="G931" i="1"/>
  <c r="H931" i="1"/>
  <c r="F1015" i="1"/>
  <c r="G1015" i="1"/>
  <c r="H1015" i="1"/>
  <c r="F1048" i="1"/>
  <c r="G1048" i="1"/>
  <c r="H1048" i="1"/>
  <c r="F1027" i="1"/>
  <c r="G1027" i="1"/>
  <c r="H1027" i="1"/>
  <c r="F1009" i="1"/>
  <c r="G1009" i="1"/>
  <c r="H1009" i="1"/>
  <c r="F981" i="1"/>
  <c r="G981" i="1"/>
  <c r="H981" i="1"/>
  <c r="F1063" i="1"/>
  <c r="G1063" i="1"/>
  <c r="H1063" i="1"/>
  <c r="F996" i="1"/>
  <c r="G996" i="1"/>
  <c r="H996" i="1"/>
  <c r="F1119" i="1"/>
  <c r="G1119" i="1"/>
  <c r="H1119" i="1"/>
  <c r="F1135" i="1"/>
  <c r="G1135" i="1"/>
  <c r="H1135" i="1"/>
  <c r="F1091" i="1"/>
  <c r="G1091" i="1"/>
  <c r="H1091" i="1"/>
  <c r="F1081" i="1"/>
  <c r="G1081" i="1"/>
  <c r="H1081" i="1"/>
  <c r="F1075" i="1"/>
  <c r="G1075" i="1"/>
  <c r="H1075" i="1"/>
  <c r="F1141" i="1"/>
  <c r="G1141" i="1"/>
  <c r="H1141" i="1"/>
  <c r="F1113" i="1"/>
  <c r="G1113" i="1"/>
  <c r="H1113" i="1"/>
  <c r="F1130" i="1"/>
  <c r="G1130" i="1"/>
  <c r="H1130" i="1"/>
  <c r="F1131" i="1"/>
  <c r="G1131" i="1"/>
  <c r="H1131" i="1"/>
  <c r="F1089" i="1"/>
  <c r="G1089" i="1"/>
  <c r="H1089" i="1"/>
  <c r="F1079" i="1"/>
  <c r="G1079" i="1"/>
  <c r="H1079" i="1"/>
  <c r="F1073" i="1"/>
  <c r="G1073" i="1"/>
  <c r="H1073" i="1"/>
  <c r="F1122" i="1"/>
  <c r="G1122" i="1"/>
  <c r="H1122" i="1"/>
  <c r="F1108" i="1"/>
  <c r="G1108" i="1"/>
  <c r="H1108" i="1"/>
  <c r="F1087" i="1"/>
  <c r="G1087" i="1"/>
  <c r="H1087" i="1"/>
  <c r="F1148" i="1"/>
  <c r="G1148" i="1"/>
  <c r="H1148" i="1"/>
  <c r="F1149" i="1"/>
  <c r="G1149" i="1"/>
  <c r="H1149" i="1"/>
  <c r="F1094" i="1"/>
  <c r="G1094" i="1"/>
  <c r="H1094" i="1"/>
  <c r="F1084" i="1"/>
  <c r="G1084" i="1"/>
  <c r="H1084" i="1"/>
  <c r="F1078" i="1"/>
  <c r="G1078" i="1"/>
  <c r="H1078" i="1"/>
  <c r="F1120" i="1"/>
  <c r="G1120" i="1"/>
  <c r="H1120" i="1"/>
  <c r="F1136" i="1"/>
  <c r="G1136" i="1"/>
  <c r="H1136" i="1"/>
  <c r="F1137" i="1"/>
  <c r="G1137" i="1"/>
  <c r="H1137" i="1"/>
  <c r="F1092" i="1"/>
  <c r="G1092" i="1"/>
  <c r="H1092" i="1"/>
  <c r="F1082" i="1"/>
  <c r="G1082" i="1"/>
  <c r="H1082" i="1"/>
  <c r="F1076" i="1"/>
  <c r="G1076" i="1"/>
  <c r="H1076" i="1"/>
  <c r="F1144" i="1"/>
  <c r="G1144" i="1"/>
  <c r="H1144" i="1"/>
  <c r="F1145" i="1"/>
  <c r="G1145" i="1"/>
  <c r="H1145" i="1"/>
  <c r="F1093" i="1"/>
  <c r="G1093" i="1"/>
  <c r="H1093" i="1"/>
  <c r="F1083" i="1"/>
  <c r="G1083" i="1"/>
  <c r="H1083" i="1"/>
  <c r="F1077" i="1"/>
  <c r="G1077" i="1"/>
  <c r="H1077" i="1"/>
  <c r="F1107" i="1"/>
  <c r="G1107" i="1"/>
  <c r="H1107" i="1"/>
  <c r="F1133" i="1"/>
  <c r="G1133" i="1"/>
  <c r="H1133" i="1"/>
  <c r="F1090" i="1"/>
  <c r="G1090" i="1"/>
  <c r="H1090" i="1"/>
  <c r="F1080" i="1"/>
  <c r="G1080" i="1"/>
  <c r="H1080" i="1"/>
  <c r="F1074" i="1"/>
  <c r="G1074" i="1"/>
  <c r="H1074" i="1"/>
  <c r="F1152" i="1"/>
  <c r="G1152" i="1"/>
  <c r="H1152" i="1"/>
  <c r="F1086" i="1"/>
  <c r="G1086" i="1"/>
  <c r="H1086" i="1"/>
  <c r="F1085" i="1"/>
  <c r="G1085" i="1"/>
  <c r="H1085" i="1"/>
  <c r="F1222" i="1"/>
  <c r="G1222" i="1"/>
  <c r="H1222" i="1"/>
  <c r="F1163" i="1"/>
  <c r="G1163" i="1"/>
  <c r="H1163" i="1"/>
  <c r="F1212" i="1"/>
  <c r="G1212" i="1"/>
  <c r="H1212" i="1"/>
  <c r="F1182" i="1"/>
  <c r="G1182" i="1"/>
  <c r="H1182" i="1"/>
  <c r="F1167" i="1"/>
  <c r="G1167" i="1"/>
  <c r="H1167" i="1"/>
  <c r="F1154" i="1"/>
  <c r="G1154" i="1"/>
  <c r="H1154" i="1"/>
  <c r="F1230" i="1"/>
  <c r="G1230" i="1"/>
  <c r="H1230" i="1"/>
  <c r="F1231" i="1"/>
  <c r="G1231" i="1"/>
  <c r="H1231" i="1"/>
  <c r="F1189" i="1"/>
  <c r="G1189" i="1"/>
  <c r="H1189" i="1"/>
  <c r="F1172" i="1"/>
  <c r="G1172" i="1"/>
  <c r="H1172" i="1"/>
  <c r="F1159" i="1"/>
  <c r="G1159" i="1"/>
  <c r="H1159" i="1"/>
  <c r="F1186" i="1"/>
  <c r="G1186" i="1"/>
  <c r="H1186" i="1"/>
  <c r="F1223" i="1"/>
  <c r="G1223" i="1"/>
  <c r="H1223" i="1"/>
  <c r="F1185" i="1"/>
  <c r="G1185" i="1"/>
  <c r="H1185" i="1"/>
  <c r="F1170" i="1"/>
  <c r="G1170" i="1"/>
  <c r="H1170" i="1"/>
  <c r="F1157" i="1"/>
  <c r="G1157" i="1"/>
  <c r="H1157" i="1"/>
  <c r="F1200" i="1"/>
  <c r="G1200" i="1"/>
  <c r="H1200" i="1"/>
  <c r="F1237" i="1"/>
  <c r="G1237" i="1"/>
  <c r="H1237" i="1"/>
  <c r="F1238" i="1"/>
  <c r="G1238" i="1"/>
  <c r="H1238" i="1"/>
  <c r="F1191" i="1"/>
  <c r="G1191" i="1"/>
  <c r="H1191" i="1"/>
  <c r="F1174" i="1"/>
  <c r="G1174" i="1"/>
  <c r="H1174" i="1"/>
  <c r="F1161" i="1"/>
  <c r="G1161" i="1"/>
  <c r="H1161" i="1"/>
  <c r="F1187" i="1"/>
  <c r="G1187" i="1"/>
  <c r="H1187" i="1"/>
  <c r="F1224" i="1"/>
  <c r="G1224" i="1"/>
  <c r="H1224" i="1"/>
  <c r="F1227" i="1"/>
  <c r="G1227" i="1"/>
  <c r="H1227" i="1"/>
  <c r="F1228" i="1"/>
  <c r="G1228" i="1"/>
  <c r="H1228" i="1"/>
  <c r="F1188" i="1"/>
  <c r="G1188" i="1"/>
  <c r="H1188" i="1"/>
  <c r="F1171" i="1"/>
  <c r="G1171" i="1"/>
  <c r="H1171" i="1"/>
  <c r="F1158" i="1"/>
  <c r="G1158" i="1"/>
  <c r="H1158" i="1"/>
  <c r="F1175" i="1"/>
  <c r="G1175" i="1"/>
  <c r="H1175" i="1"/>
  <c r="F1214" i="1"/>
  <c r="G1214" i="1"/>
  <c r="H1214" i="1"/>
  <c r="F1183" i="1"/>
  <c r="G1183" i="1"/>
  <c r="H1183" i="1"/>
  <c r="F1168" i="1"/>
  <c r="G1168" i="1"/>
  <c r="H1168" i="1"/>
  <c r="F1155" i="1"/>
  <c r="G1155" i="1"/>
  <c r="H1155" i="1"/>
  <c r="F1219" i="1"/>
  <c r="G1219" i="1"/>
  <c r="H1219" i="1"/>
  <c r="F1233" i="1"/>
  <c r="G1233" i="1"/>
  <c r="H1233" i="1"/>
  <c r="F1234" i="1"/>
  <c r="G1234" i="1"/>
  <c r="H1234" i="1"/>
  <c r="F1190" i="1"/>
  <c r="G1190" i="1"/>
  <c r="H1190" i="1"/>
  <c r="F1173" i="1"/>
  <c r="G1173" i="1"/>
  <c r="H1173" i="1"/>
  <c r="F1160" i="1"/>
  <c r="G1160" i="1"/>
  <c r="H1160" i="1"/>
  <c r="F1217" i="1"/>
  <c r="G1217" i="1"/>
  <c r="H1217" i="1"/>
  <c r="F1218" i="1"/>
  <c r="G1218" i="1"/>
  <c r="H1218" i="1"/>
  <c r="F1184" i="1"/>
  <c r="G1184" i="1"/>
  <c r="H1184" i="1"/>
  <c r="F1169" i="1"/>
  <c r="G1169" i="1"/>
  <c r="H1169" i="1"/>
  <c r="F1156" i="1"/>
  <c r="G1156" i="1"/>
  <c r="H1156" i="1"/>
  <c r="F1176" i="1"/>
  <c r="G1176" i="1"/>
  <c r="H1176" i="1"/>
  <c r="F1179" i="1"/>
  <c r="G1179" i="1"/>
  <c r="H1179" i="1"/>
  <c r="F1162" i="1"/>
  <c r="G1162" i="1"/>
  <c r="H1162" i="1"/>
  <c r="F691" i="1"/>
  <c r="G691" i="1"/>
  <c r="H691" i="1"/>
  <c r="F700" i="1"/>
  <c r="G700" i="1"/>
  <c r="H700" i="1"/>
  <c r="F687" i="1"/>
  <c r="G687" i="1"/>
  <c r="H687" i="1"/>
  <c r="F690" i="1"/>
  <c r="G690" i="1"/>
  <c r="H690" i="1"/>
  <c r="F688" i="1"/>
  <c r="G688" i="1"/>
  <c r="H688" i="1"/>
  <c r="F689" i="1"/>
  <c r="G689" i="1"/>
  <c r="H689" i="1"/>
  <c r="F701" i="1"/>
  <c r="G701" i="1"/>
  <c r="H701" i="1"/>
  <c r="F699" i="1"/>
  <c r="G699" i="1"/>
  <c r="H699" i="1"/>
  <c r="F697" i="1"/>
  <c r="G697" i="1"/>
  <c r="H697" i="1"/>
  <c r="F698" i="1"/>
  <c r="G698" i="1"/>
  <c r="H698" i="1"/>
  <c r="F702" i="1"/>
  <c r="G702" i="1"/>
  <c r="H702" i="1"/>
  <c r="F694" i="1"/>
  <c r="G694" i="1"/>
  <c r="H694" i="1"/>
  <c r="F704" i="1"/>
  <c r="G704" i="1"/>
  <c r="H704" i="1"/>
  <c r="F703" i="1"/>
  <c r="G703" i="1"/>
  <c r="H703" i="1"/>
  <c r="H1151" i="1"/>
  <c r="H885" i="1"/>
  <c r="H395" i="1"/>
  <c r="H22" i="1"/>
  <c r="H1232" i="1"/>
  <c r="H56" i="1"/>
  <c r="H523" i="1"/>
  <c r="G1151" i="1"/>
  <c r="G885" i="1"/>
  <c r="G395" i="1"/>
  <c r="G22" i="1"/>
  <c r="G1232" i="1"/>
  <c r="G56" i="1"/>
  <c r="F1151" i="1"/>
  <c r="F885" i="1"/>
  <c r="F395" i="1"/>
  <c r="F22" i="1"/>
  <c r="F1232" i="1"/>
  <c r="F56" i="1"/>
  <c r="A3" i="5" l="1"/>
</calcChain>
</file>

<file path=xl/sharedStrings.xml><?xml version="1.0" encoding="utf-8"?>
<sst xmlns="http://schemas.openxmlformats.org/spreadsheetml/2006/main" count="7075" uniqueCount="3379">
  <si>
    <t>Black</t>
  </si>
  <si>
    <t>White</t>
  </si>
  <si>
    <t>Red</t>
  </si>
  <si>
    <t>Lime</t>
  </si>
  <si>
    <t>Blue</t>
  </si>
  <si>
    <t>Yellow</t>
  </si>
  <si>
    <t>Cyan / Aqua</t>
  </si>
  <si>
    <t>Magenta / Fuchsia</t>
  </si>
  <si>
    <t>Silver</t>
  </si>
  <si>
    <t>Gray</t>
  </si>
  <si>
    <t>Maroon</t>
  </si>
  <si>
    <t>Olive</t>
  </si>
  <si>
    <t>Green</t>
  </si>
  <si>
    <t>Purple</t>
  </si>
  <si>
    <t>Teal</t>
  </si>
  <si>
    <t>Navy</t>
  </si>
  <si>
    <t>maroon</t>
  </si>
  <si>
    <t>dark red</t>
  </si>
  <si>
    <t>brown</t>
  </si>
  <si>
    <t>firebrick</t>
  </si>
  <si>
    <t>crimson</t>
  </si>
  <si>
    <t>red</t>
  </si>
  <si>
    <t>tomato</t>
  </si>
  <si>
    <t>coral</t>
  </si>
  <si>
    <t>indian red</t>
  </si>
  <si>
    <t>light coral</t>
  </si>
  <si>
    <t>dark salmon</t>
  </si>
  <si>
    <t>salmon</t>
  </si>
  <si>
    <t>light salmon</t>
  </si>
  <si>
    <t>orange red</t>
  </si>
  <si>
    <t>dark orange</t>
  </si>
  <si>
    <t>orange</t>
  </si>
  <si>
    <t>gold</t>
  </si>
  <si>
    <t>dark golden rod</t>
  </si>
  <si>
    <t>golden rod</t>
  </si>
  <si>
    <t>pale golden rod</t>
  </si>
  <si>
    <t>dark khaki</t>
  </si>
  <si>
    <t>khaki</t>
  </si>
  <si>
    <t>olive</t>
  </si>
  <si>
    <t>yellow</t>
  </si>
  <si>
    <t>yellow green</t>
  </si>
  <si>
    <t>dark olive green</t>
  </si>
  <si>
    <t>olive drab</t>
  </si>
  <si>
    <t>lawn green</t>
  </si>
  <si>
    <t>chartreuse</t>
  </si>
  <si>
    <t>green yellow</t>
  </si>
  <si>
    <t>dark green</t>
  </si>
  <si>
    <t>green</t>
  </si>
  <si>
    <t>forest green</t>
  </si>
  <si>
    <t>lime</t>
  </si>
  <si>
    <t>lime green</t>
  </si>
  <si>
    <t>light green</t>
  </si>
  <si>
    <t>pale green</t>
  </si>
  <si>
    <t>dark sea green</t>
  </si>
  <si>
    <t>medium spring green</t>
  </si>
  <si>
    <t>spring green</t>
  </si>
  <si>
    <t>sea green</t>
  </si>
  <si>
    <t>medium aqua marine</t>
  </si>
  <si>
    <t>medium sea green</t>
  </si>
  <si>
    <t>light sea green</t>
  </si>
  <si>
    <t>dark slate gray</t>
  </si>
  <si>
    <t>teal</t>
  </si>
  <si>
    <t>dark cyan</t>
  </si>
  <si>
    <t>aqua</t>
  </si>
  <si>
    <t>cyan</t>
  </si>
  <si>
    <t>light cyan</t>
  </si>
  <si>
    <t>dark turquoise</t>
  </si>
  <si>
    <t>turquoise</t>
  </si>
  <si>
    <t>medium turquoise</t>
  </si>
  <si>
    <t>pale turquoise</t>
  </si>
  <si>
    <t>aqua marine</t>
  </si>
  <si>
    <t>powder blue</t>
  </si>
  <si>
    <t>cadet blue</t>
  </si>
  <si>
    <t>steel blue</t>
  </si>
  <si>
    <t>corn flower blue</t>
  </si>
  <si>
    <t>deep sky blue</t>
  </si>
  <si>
    <t>dodger blue</t>
  </si>
  <si>
    <t>light blue</t>
  </si>
  <si>
    <t>sky blue</t>
  </si>
  <si>
    <t>light sky blue</t>
  </si>
  <si>
    <t>midnight blue</t>
  </si>
  <si>
    <t>navy</t>
  </si>
  <si>
    <t>dark blue</t>
  </si>
  <si>
    <t>medium blue</t>
  </si>
  <si>
    <t>blue</t>
  </si>
  <si>
    <t>royal blue</t>
  </si>
  <si>
    <t>blue violet</t>
  </si>
  <si>
    <t>indigo</t>
  </si>
  <si>
    <t>dark slate blue</t>
  </si>
  <si>
    <t>slate blue</t>
  </si>
  <si>
    <t>medium slate blue</t>
  </si>
  <si>
    <t>medium purple</t>
  </si>
  <si>
    <t>dark magenta</t>
  </si>
  <si>
    <t>dark violet</t>
  </si>
  <si>
    <t>dark orchid</t>
  </si>
  <si>
    <t>medium orchid</t>
  </si>
  <si>
    <t>purple</t>
  </si>
  <si>
    <t>thistle</t>
  </si>
  <si>
    <t>plum</t>
  </si>
  <si>
    <t>violet</t>
  </si>
  <si>
    <t>magenta / fuchsia</t>
  </si>
  <si>
    <t>orchid</t>
  </si>
  <si>
    <t>medium violet red</t>
  </si>
  <si>
    <t>pale violet red</t>
  </si>
  <si>
    <t>deep pink</t>
  </si>
  <si>
    <t>hot pink</t>
  </si>
  <si>
    <t>light pink</t>
  </si>
  <si>
    <t>pink</t>
  </si>
  <si>
    <t>antique white</t>
  </si>
  <si>
    <t>beige</t>
  </si>
  <si>
    <t>bisque</t>
  </si>
  <si>
    <t>blanched almond</t>
  </si>
  <si>
    <t>wheat</t>
  </si>
  <si>
    <t>corn silk</t>
  </si>
  <si>
    <t>lemon chiffon</t>
  </si>
  <si>
    <t>light golden rod yellow</t>
  </si>
  <si>
    <t>light yellow</t>
  </si>
  <si>
    <t>saddle brown</t>
  </si>
  <si>
    <t>sienna</t>
  </si>
  <si>
    <t>chocolate</t>
  </si>
  <si>
    <t>peru</t>
  </si>
  <si>
    <t>sandy brown</t>
  </si>
  <si>
    <t>burly wood</t>
  </si>
  <si>
    <t>tan</t>
  </si>
  <si>
    <t>rosy brown</t>
  </si>
  <si>
    <t>moccasin</t>
  </si>
  <si>
    <t>navajo white</t>
  </si>
  <si>
    <t>peach puff</t>
  </si>
  <si>
    <t>misty rose</t>
  </si>
  <si>
    <t>lavender blush</t>
  </si>
  <si>
    <t>linen</t>
  </si>
  <si>
    <t>old lace</t>
  </si>
  <si>
    <t>papaya whip</t>
  </si>
  <si>
    <t>sea shell</t>
  </si>
  <si>
    <t>mint cream</t>
  </si>
  <si>
    <t>slate gray</t>
  </si>
  <si>
    <t>light slate gray</t>
  </si>
  <si>
    <t>light steel blue</t>
  </si>
  <si>
    <t>lavender</t>
  </si>
  <si>
    <t>floral white</t>
  </si>
  <si>
    <t>alice blue</t>
  </si>
  <si>
    <t>ghost white</t>
  </si>
  <si>
    <t>honeydew</t>
  </si>
  <si>
    <t>ivory</t>
  </si>
  <si>
    <t>azure</t>
  </si>
  <si>
    <t>snow</t>
  </si>
  <si>
    <t>black</t>
  </si>
  <si>
    <t>dim gray / dim grey</t>
  </si>
  <si>
    <t>gray / grey</t>
  </si>
  <si>
    <t>dark gray / dark grey</t>
  </si>
  <si>
    <t>silver</t>
  </si>
  <si>
    <t>light gray / light grey</t>
  </si>
  <si>
    <t>gainsboro</t>
  </si>
  <si>
    <t>white smoke</t>
  </si>
  <si>
    <t>white</t>
  </si>
  <si>
    <t>Grey</t>
  </si>
  <si>
    <t>Grey, Silver</t>
  </si>
  <si>
    <t>C0C0C0</t>
  </si>
  <si>
    <t>grey</t>
  </si>
  <si>
    <t>BEBEBE</t>
  </si>
  <si>
    <t>LightGray</t>
  </si>
  <si>
    <t>D3D3D3</t>
  </si>
  <si>
    <t>LightSlateGrey</t>
  </si>
  <si>
    <t>SlateGray</t>
  </si>
  <si>
    <t>SlateGray1</t>
  </si>
  <si>
    <t>C6E2FF</t>
  </si>
  <si>
    <t>SlateGray2</t>
  </si>
  <si>
    <t>B9D3EE</t>
  </si>
  <si>
    <t>SlateGray3</t>
  </si>
  <si>
    <t>9FB6CD</t>
  </si>
  <si>
    <t>SlateGray4</t>
  </si>
  <si>
    <t>6C7B8B</t>
  </si>
  <si>
    <t>grey0</t>
  </si>
  <si>
    <t>grey1</t>
  </si>
  <si>
    <t>grey2</t>
  </si>
  <si>
    <t>grey3</t>
  </si>
  <si>
    <t>grey4</t>
  </si>
  <si>
    <t>0A0A0A</t>
  </si>
  <si>
    <t>grey5</t>
  </si>
  <si>
    <t>0D0D0D</t>
  </si>
  <si>
    <t>grey6</t>
  </si>
  <si>
    <t>0F0F0F</t>
  </si>
  <si>
    <t>grey7</t>
  </si>
  <si>
    <t>grey8</t>
  </si>
  <si>
    <t>grey9</t>
  </si>
  <si>
    <t>grey10</t>
  </si>
  <si>
    <t>1A1A1A</t>
  </si>
  <si>
    <t>grey11</t>
  </si>
  <si>
    <t>1C1C1C</t>
  </si>
  <si>
    <t>grey12</t>
  </si>
  <si>
    <t>1F1F1F</t>
  </si>
  <si>
    <t>grey13</t>
  </si>
  <si>
    <t>grey14</t>
  </si>
  <si>
    <t>grey15</t>
  </si>
  <si>
    <t>grey16</t>
  </si>
  <si>
    <t>grey17</t>
  </si>
  <si>
    <t>2B2B2B</t>
  </si>
  <si>
    <t>grey18</t>
  </si>
  <si>
    <t>2E2E2E</t>
  </si>
  <si>
    <t>grey19</t>
  </si>
  <si>
    <t>grey20</t>
  </si>
  <si>
    <t>grey21</t>
  </si>
  <si>
    <t>grey22</t>
  </si>
  <si>
    <t>grey23</t>
  </si>
  <si>
    <t>3B3B3B</t>
  </si>
  <si>
    <t>grey24</t>
  </si>
  <si>
    <t>3D3D3D</t>
  </si>
  <si>
    <t>grey25</t>
  </si>
  <si>
    <t>grey26</t>
  </si>
  <si>
    <t>grey27</t>
  </si>
  <si>
    <t>grey28</t>
  </si>
  <si>
    <t>grey29</t>
  </si>
  <si>
    <t>4A4A4A</t>
  </si>
  <si>
    <t>grey30</t>
  </si>
  <si>
    <t>4D4D4D</t>
  </si>
  <si>
    <t>grey31</t>
  </si>
  <si>
    <t>4F4F4F</t>
  </si>
  <si>
    <t>grey32</t>
  </si>
  <si>
    <t>grey33</t>
  </si>
  <si>
    <t>grey34</t>
  </si>
  <si>
    <t>grey35</t>
  </si>
  <si>
    <t>grey36</t>
  </si>
  <si>
    <t>5C5C5C</t>
  </si>
  <si>
    <t>grey37</t>
  </si>
  <si>
    <t>5E5E5E</t>
  </si>
  <si>
    <t>grey38</t>
  </si>
  <si>
    <t>grey39</t>
  </si>
  <si>
    <t>grey40</t>
  </si>
  <si>
    <t>grey41, DimGrey</t>
  </si>
  <si>
    <t>grey42</t>
  </si>
  <si>
    <t>6B6B6B</t>
  </si>
  <si>
    <t>grey43</t>
  </si>
  <si>
    <t>6E6E6E</t>
  </si>
  <si>
    <t>grey44</t>
  </si>
  <si>
    <t>grey45</t>
  </si>
  <si>
    <t>grey46</t>
  </si>
  <si>
    <t>grey47</t>
  </si>
  <si>
    <t>grey48</t>
  </si>
  <si>
    <t>7A7A7A</t>
  </si>
  <si>
    <t>grey49</t>
  </si>
  <si>
    <t>7D7D7D</t>
  </si>
  <si>
    <t>grey50</t>
  </si>
  <si>
    <t>7F7F7F</t>
  </si>
  <si>
    <t>grey51</t>
  </si>
  <si>
    <t>grey52</t>
  </si>
  <si>
    <t>grey53</t>
  </si>
  <si>
    <t>grey54</t>
  </si>
  <si>
    <t>8A8A8A</t>
  </si>
  <si>
    <t>grey55</t>
  </si>
  <si>
    <t>8C8C8C</t>
  </si>
  <si>
    <t>grey56</t>
  </si>
  <si>
    <t>8F8F8F</t>
  </si>
  <si>
    <t>grey57</t>
  </si>
  <si>
    <t>grey58</t>
  </si>
  <si>
    <t>grey59</t>
  </si>
  <si>
    <t>grey60</t>
  </si>
  <si>
    <t>grey61</t>
  </si>
  <si>
    <t>9C9C9C</t>
  </si>
  <si>
    <t>grey62</t>
  </si>
  <si>
    <t>9E9E9E</t>
  </si>
  <si>
    <t>grey63</t>
  </si>
  <si>
    <t>A1A1A1</t>
  </si>
  <si>
    <t>grey64</t>
  </si>
  <si>
    <t>A3A3A3</t>
  </si>
  <si>
    <t>grey65</t>
  </si>
  <si>
    <t>A6A6A6</t>
  </si>
  <si>
    <t>grey66</t>
  </si>
  <si>
    <t>A8A8A8</t>
  </si>
  <si>
    <t>grey67</t>
  </si>
  <si>
    <t>ABABAB</t>
  </si>
  <si>
    <t>grey68</t>
  </si>
  <si>
    <t>ADADAD</t>
  </si>
  <si>
    <t>grey69</t>
  </si>
  <si>
    <t>B0B0B0</t>
  </si>
  <si>
    <t>grey70</t>
  </si>
  <si>
    <t>B3B3B3</t>
  </si>
  <si>
    <t>grey71</t>
  </si>
  <si>
    <t>B5B5B5</t>
  </si>
  <si>
    <t>grey72</t>
  </si>
  <si>
    <t>B8B8B8</t>
  </si>
  <si>
    <t>BBBBBB</t>
  </si>
  <si>
    <t>grey73</t>
  </si>
  <si>
    <t>BABABA</t>
  </si>
  <si>
    <t>grey74</t>
  </si>
  <si>
    <t>BDBDBD</t>
  </si>
  <si>
    <t>grey75</t>
  </si>
  <si>
    <t>BFBFBF</t>
  </si>
  <si>
    <t>grey76</t>
  </si>
  <si>
    <t>C2C2C2</t>
  </si>
  <si>
    <t>grey77</t>
  </si>
  <si>
    <t>C4C4C4</t>
  </si>
  <si>
    <t>grey78</t>
  </si>
  <si>
    <t>C7C7C7</t>
  </si>
  <si>
    <t>grey79</t>
  </si>
  <si>
    <t>C9C9C9</t>
  </si>
  <si>
    <t>grey80</t>
  </si>
  <si>
    <t>CCCCCC</t>
  </si>
  <si>
    <t>grey81</t>
  </si>
  <si>
    <t>CFCFCF</t>
  </si>
  <si>
    <t>grey82</t>
  </si>
  <si>
    <t>D1D1D1</t>
  </si>
  <si>
    <t>grey83</t>
  </si>
  <si>
    <t>D4D4D4</t>
  </si>
  <si>
    <t>grey84</t>
  </si>
  <si>
    <t>D6D6D6</t>
  </si>
  <si>
    <t>grey85</t>
  </si>
  <si>
    <t>D9D9D9</t>
  </si>
  <si>
    <t>grey86</t>
  </si>
  <si>
    <t>DBDBDB</t>
  </si>
  <si>
    <t>grey87</t>
  </si>
  <si>
    <t>DEDEDE</t>
  </si>
  <si>
    <t>DDDDDD</t>
  </si>
  <si>
    <t>grey88</t>
  </si>
  <si>
    <t>E0E0E0</t>
  </si>
  <si>
    <t>grey89</t>
  </si>
  <si>
    <t>E3E3E3</t>
  </si>
  <si>
    <t>grey90</t>
  </si>
  <si>
    <t>E5E5E5</t>
  </si>
  <si>
    <t>grey91</t>
  </si>
  <si>
    <t>E8E8E8</t>
  </si>
  <si>
    <t>grey92</t>
  </si>
  <si>
    <t>EBEBEB</t>
  </si>
  <si>
    <t>grey93</t>
  </si>
  <si>
    <t>EDEDED</t>
  </si>
  <si>
    <t>EEEEEE</t>
  </si>
  <si>
    <t>grey94</t>
  </si>
  <si>
    <t>F0F0F0</t>
  </si>
  <si>
    <t>grey95</t>
  </si>
  <si>
    <t>F2F2F2</t>
  </si>
  <si>
    <t>grey96</t>
  </si>
  <si>
    <t>F5F5F5</t>
  </si>
  <si>
    <t>grey97</t>
  </si>
  <si>
    <t>F7F7F7</t>
  </si>
  <si>
    <t>grey98</t>
  </si>
  <si>
    <t>FAFAFA</t>
  </si>
  <si>
    <t>grey99</t>
  </si>
  <si>
    <t>FCFCFC</t>
  </si>
  <si>
    <t>grey100, White</t>
  </si>
  <si>
    <t>FFFFFF</t>
  </si>
  <si>
    <t>Dark Slate Grey</t>
  </si>
  <si>
    <t>2F4F4F</t>
  </si>
  <si>
    <t>Dim Grey</t>
  </si>
  <si>
    <t>Very Light Grey</t>
  </si>
  <si>
    <t>CDCDCD</t>
  </si>
  <si>
    <t>Free Speech Grey</t>
  </si>
  <si>
    <t>Shades of Blue</t>
  </si>
  <si>
    <t>AliceBlue</t>
  </si>
  <si>
    <t>F0F8FF</t>
  </si>
  <si>
    <t>BlueViolet</t>
  </si>
  <si>
    <t>8A2BE2</t>
  </si>
  <si>
    <t>Cadet Blue</t>
  </si>
  <si>
    <t>5F9F9F</t>
  </si>
  <si>
    <t>CadetBlue</t>
  </si>
  <si>
    <t>5F9EA0</t>
  </si>
  <si>
    <t>CadetBlue1</t>
  </si>
  <si>
    <t>98F5FF</t>
  </si>
  <si>
    <t>CadetBlue2</t>
  </si>
  <si>
    <t>8EE5EE</t>
  </si>
  <si>
    <t>CadetBlue3</t>
  </si>
  <si>
    <t>7AC5CD</t>
  </si>
  <si>
    <t>CadetBlue4</t>
  </si>
  <si>
    <t>53868B</t>
  </si>
  <si>
    <t>Corn Flower Blue</t>
  </si>
  <si>
    <t>42426F</t>
  </si>
  <si>
    <t>CornflowerBlue</t>
  </si>
  <si>
    <t>6495ED</t>
  </si>
  <si>
    <t>DarkSlateBlue</t>
  </si>
  <si>
    <t>483D8B</t>
  </si>
  <si>
    <t>DarkTurquoise</t>
  </si>
  <si>
    <t>00CED1</t>
  </si>
  <si>
    <t>DeepSkyBlue</t>
  </si>
  <si>
    <t>00BFFF</t>
  </si>
  <si>
    <t>DeepSkyBlue1</t>
  </si>
  <si>
    <t>DeepSkyBlue2</t>
  </si>
  <si>
    <t>00B2EE</t>
  </si>
  <si>
    <t>DeepSkyBlue3</t>
  </si>
  <si>
    <t>009ACD</t>
  </si>
  <si>
    <t>DeepSkyBlue4</t>
  </si>
  <si>
    <t>00688B</t>
  </si>
  <si>
    <t>DodgerBlue</t>
  </si>
  <si>
    <t>1E90FF</t>
  </si>
  <si>
    <t>DodgerBlue1</t>
  </si>
  <si>
    <t>DodgerBlue2</t>
  </si>
  <si>
    <t>1C86EE</t>
  </si>
  <si>
    <t>DodgerBlue3</t>
  </si>
  <si>
    <t>1874CD</t>
  </si>
  <si>
    <t>DodgerBlue4</t>
  </si>
  <si>
    <t>104E8B</t>
  </si>
  <si>
    <t>AABBCC</t>
  </si>
  <si>
    <t>LightBlue</t>
  </si>
  <si>
    <t>ADD8E6</t>
  </si>
  <si>
    <t>LightBlue1</t>
  </si>
  <si>
    <t>BFEFFF</t>
  </si>
  <si>
    <t>LightBlue2</t>
  </si>
  <si>
    <t>B2DFEE</t>
  </si>
  <si>
    <t>LightBlue3</t>
  </si>
  <si>
    <t>9AC0CD</t>
  </si>
  <si>
    <t>LightBlue4</t>
  </si>
  <si>
    <t>68838B</t>
  </si>
  <si>
    <t>LightCyan</t>
  </si>
  <si>
    <t>E0FFFF</t>
  </si>
  <si>
    <t>LightCyan1</t>
  </si>
  <si>
    <t>LightCyan2</t>
  </si>
  <si>
    <t>D1EEEE</t>
  </si>
  <si>
    <t>LightCyan3</t>
  </si>
  <si>
    <t>B4CDCD</t>
  </si>
  <si>
    <t>LightCyan4</t>
  </si>
  <si>
    <t>7A8B8B</t>
  </si>
  <si>
    <t>LightSkyBlue</t>
  </si>
  <si>
    <t>87CEFA</t>
  </si>
  <si>
    <t>LightSkyBlue1</t>
  </si>
  <si>
    <t>B0E2FF</t>
  </si>
  <si>
    <t>LightSkyBlue2</t>
  </si>
  <si>
    <t>A4D3EE</t>
  </si>
  <si>
    <t>LightSkyBlue3</t>
  </si>
  <si>
    <t>8DB6CD</t>
  </si>
  <si>
    <t>LightSkyBlue4</t>
  </si>
  <si>
    <t>607B8B</t>
  </si>
  <si>
    <t>LightSlateBlue</t>
  </si>
  <si>
    <t>8470FF</t>
  </si>
  <si>
    <t>99CCFF</t>
  </si>
  <si>
    <t>LightSteelBlue</t>
  </si>
  <si>
    <t>B0C4DE</t>
  </si>
  <si>
    <t>LightSteelBlue1</t>
  </si>
  <si>
    <t>CAE1FF</t>
  </si>
  <si>
    <t>LightSteelBlue2</t>
  </si>
  <si>
    <t>BCD2EE</t>
  </si>
  <si>
    <t>LightSteelBlue3</t>
  </si>
  <si>
    <t>A2B5CD</t>
  </si>
  <si>
    <t>LightSteelBlue4</t>
  </si>
  <si>
    <t>6E7B8B</t>
  </si>
  <si>
    <t>Aquamarine</t>
  </si>
  <si>
    <t>70DB93</t>
  </si>
  <si>
    <t>MediumBlue</t>
  </si>
  <si>
    <t>0000CD</t>
  </si>
  <si>
    <t>MediumSlateBlue</t>
  </si>
  <si>
    <t>7B68EE</t>
  </si>
  <si>
    <t>MediumTurquoise</t>
  </si>
  <si>
    <t>48D1CC</t>
  </si>
  <si>
    <t>MidnightBlue</t>
  </si>
  <si>
    <t>NavyBlue</t>
  </si>
  <si>
    <t>PaleTurquoise</t>
  </si>
  <si>
    <t>AFEEEE</t>
  </si>
  <si>
    <t>PaleTurquoise1</t>
  </si>
  <si>
    <t>BBFFFF</t>
  </si>
  <si>
    <t>PaleTurquoise2</t>
  </si>
  <si>
    <t>AEEEEE</t>
  </si>
  <si>
    <t>PaleTurquoise3</t>
  </si>
  <si>
    <t>96CDCD</t>
  </si>
  <si>
    <t>PaleTurquoise4</t>
  </si>
  <si>
    <t>668B8B</t>
  </si>
  <si>
    <t>PowderBlue</t>
  </si>
  <si>
    <t>B0E0E6</t>
  </si>
  <si>
    <t>RoyalBlue</t>
  </si>
  <si>
    <t>RoyalBlue1</t>
  </si>
  <si>
    <t>4876FF</t>
  </si>
  <si>
    <t>RoyalBlue2</t>
  </si>
  <si>
    <t>436EEE</t>
  </si>
  <si>
    <t>RoyalBlue3</t>
  </si>
  <si>
    <t>3A5FCD</t>
  </si>
  <si>
    <t>RoyalBlue4</t>
  </si>
  <si>
    <t>27408B</t>
  </si>
  <si>
    <t>RoyalBlue5</t>
  </si>
  <si>
    <t>SkyBlue</t>
  </si>
  <si>
    <t>87CEEB</t>
  </si>
  <si>
    <t>SkyBlue1</t>
  </si>
  <si>
    <t>87CEFF</t>
  </si>
  <si>
    <t>SkyBlue2</t>
  </si>
  <si>
    <t>7EC0EE</t>
  </si>
  <si>
    <t>SkyBlue3</t>
  </si>
  <si>
    <t>6CA6CD</t>
  </si>
  <si>
    <t>SkyBlue4</t>
  </si>
  <si>
    <t>4A708B</t>
  </si>
  <si>
    <t>SlateBlue</t>
  </si>
  <si>
    <t>6A5ACD</t>
  </si>
  <si>
    <t>SlateBlue1</t>
  </si>
  <si>
    <t>836FFF</t>
  </si>
  <si>
    <t>SlateBlue2</t>
  </si>
  <si>
    <t>7A67EE</t>
  </si>
  <si>
    <t>SlateBlue3</t>
  </si>
  <si>
    <t>6959CD</t>
  </si>
  <si>
    <t>SlateBlue4</t>
  </si>
  <si>
    <t>473C8B</t>
  </si>
  <si>
    <t>SteelBlue</t>
  </si>
  <si>
    <t>4682B4</t>
  </si>
  <si>
    <t>SteelBlue1</t>
  </si>
  <si>
    <t>63B8FF</t>
  </si>
  <si>
    <t>SteelBlue2</t>
  </si>
  <si>
    <t>5CACEE</t>
  </si>
  <si>
    <t>SteelBlue3</t>
  </si>
  <si>
    <t>4F94CD</t>
  </si>
  <si>
    <t>SteelBlue4</t>
  </si>
  <si>
    <t>36648B</t>
  </si>
  <si>
    <t>3399CC</t>
  </si>
  <si>
    <t>6699CC</t>
  </si>
  <si>
    <t>aquamarine</t>
  </si>
  <si>
    <t>7FFFD4</t>
  </si>
  <si>
    <t>aquamarine1</t>
  </si>
  <si>
    <t>aquamarine2</t>
  </si>
  <si>
    <t>76EEC6</t>
  </si>
  <si>
    <t>aquamarine3, MediumAquamarine</t>
  </si>
  <si>
    <t>66CDAA</t>
  </si>
  <si>
    <t>aquamarine4</t>
  </si>
  <si>
    <t>458B74</t>
  </si>
  <si>
    <t>F0FFFF</t>
  </si>
  <si>
    <t>azure1</t>
  </si>
  <si>
    <t>azure2</t>
  </si>
  <si>
    <t>E0EEEE</t>
  </si>
  <si>
    <t>azure3</t>
  </si>
  <si>
    <t>C1CDCD</t>
  </si>
  <si>
    <t>azure4</t>
  </si>
  <si>
    <t>838B8B</t>
  </si>
  <si>
    <t>0000FF</t>
  </si>
  <si>
    <t>blue1</t>
  </si>
  <si>
    <t>blue2</t>
  </si>
  <si>
    <t>0000EE</t>
  </si>
  <si>
    <t>blue3</t>
  </si>
  <si>
    <t>blue4</t>
  </si>
  <si>
    <t>00008B</t>
  </si>
  <si>
    <t>00FFFF</t>
  </si>
  <si>
    <t>True Iris Blue</t>
  </si>
  <si>
    <t>03B4CC</t>
  </si>
  <si>
    <t>cyan1</t>
  </si>
  <si>
    <t>cyan2</t>
  </si>
  <si>
    <t>00EEEE</t>
  </si>
  <si>
    <t>cyan3</t>
  </si>
  <si>
    <t>00CDCD</t>
  </si>
  <si>
    <t>cyan4</t>
  </si>
  <si>
    <t>008B8B</t>
  </si>
  <si>
    <t>40E0D0</t>
  </si>
  <si>
    <t>turquoise1</t>
  </si>
  <si>
    <t>00F5FF</t>
  </si>
  <si>
    <t>turquoise2</t>
  </si>
  <si>
    <t>00E5EE</t>
  </si>
  <si>
    <t>turquoise3</t>
  </si>
  <si>
    <t>00C5CD</t>
  </si>
  <si>
    <t>turquoise4</t>
  </si>
  <si>
    <t>00868B</t>
  </si>
  <si>
    <t>DarkSlateGray</t>
  </si>
  <si>
    <t>DarkSlateGray1</t>
  </si>
  <si>
    <t>97FFFF</t>
  </si>
  <si>
    <t>DarkSlateGray2</t>
  </si>
  <si>
    <t>8DEEEE</t>
  </si>
  <si>
    <t>DarkSlateGray3</t>
  </si>
  <si>
    <t>79CDCD</t>
  </si>
  <si>
    <t>DarkSlateGray4</t>
  </si>
  <si>
    <t>528B8B</t>
  </si>
  <si>
    <t>Dark Slate Blue</t>
  </si>
  <si>
    <t>Dark Turquoise</t>
  </si>
  <si>
    <t>7093DB</t>
  </si>
  <si>
    <t>Medium Slate Blue</t>
  </si>
  <si>
    <t>7F00FF</t>
  </si>
  <si>
    <t>Medium Turquoise</t>
  </si>
  <si>
    <t>70DBDB</t>
  </si>
  <si>
    <t>Midnight Blue</t>
  </si>
  <si>
    <t>2F2F4F</t>
  </si>
  <si>
    <t>Navy Blue</t>
  </si>
  <si>
    <t>23238E</t>
  </si>
  <si>
    <t>Neon Blue</t>
  </si>
  <si>
    <t>4D4DFF</t>
  </si>
  <si>
    <t>New Midnight Blue</t>
  </si>
  <si>
    <t>00009C</t>
  </si>
  <si>
    <t>Rich Blue</t>
  </si>
  <si>
    <t>5959AB</t>
  </si>
  <si>
    <t>Sky Blue</t>
  </si>
  <si>
    <t>3299CC</t>
  </si>
  <si>
    <t>Slate Blue</t>
  </si>
  <si>
    <t>007FFF</t>
  </si>
  <si>
    <t>Summer Sky</t>
  </si>
  <si>
    <t>38B0DE</t>
  </si>
  <si>
    <t>Iris Blue</t>
  </si>
  <si>
    <t>03B4C8</t>
  </si>
  <si>
    <t>Free Speech Blue</t>
  </si>
  <si>
    <t>4156C5</t>
  </si>
  <si>
    <t>Shades of Brown</t>
  </si>
  <si>
    <t>RosyBrown</t>
  </si>
  <si>
    <t>BC8F8F</t>
  </si>
  <si>
    <t>RosyBrown1</t>
  </si>
  <si>
    <t>FFC1C1</t>
  </si>
  <si>
    <t>RosyBrown2</t>
  </si>
  <si>
    <t>EEB4B4</t>
  </si>
  <si>
    <t>RosyBrown3</t>
  </si>
  <si>
    <t>CD9B9B</t>
  </si>
  <si>
    <t>RosyBrown4</t>
  </si>
  <si>
    <t>8B6969</t>
  </si>
  <si>
    <t>SaddleBrown</t>
  </si>
  <si>
    <t>8B4513</t>
  </si>
  <si>
    <t>SandyBrown</t>
  </si>
  <si>
    <t>F4A460</t>
  </si>
  <si>
    <t>F5F5DC</t>
  </si>
  <si>
    <t>A52A2A</t>
  </si>
  <si>
    <t>A62A2A</t>
  </si>
  <si>
    <t>brown1</t>
  </si>
  <si>
    <t>FF4040</t>
  </si>
  <si>
    <t>brown2</t>
  </si>
  <si>
    <t>EE3B3B</t>
  </si>
  <si>
    <t>brown3</t>
  </si>
  <si>
    <t>CD3333</t>
  </si>
  <si>
    <t>brown4</t>
  </si>
  <si>
    <t>8B2323</t>
  </si>
  <si>
    <t>dark brown</t>
  </si>
  <si>
    <t>5C4033</t>
  </si>
  <si>
    <t>burlywood</t>
  </si>
  <si>
    <t>DEB887</t>
  </si>
  <si>
    <t>burlywood1</t>
  </si>
  <si>
    <t>FFD39B</t>
  </si>
  <si>
    <t>burlywood2</t>
  </si>
  <si>
    <t>EEC591</t>
  </si>
  <si>
    <t>burlywood3</t>
  </si>
  <si>
    <t>CDAA7D</t>
  </si>
  <si>
    <t>burlywood4</t>
  </si>
  <si>
    <t>8B7355</t>
  </si>
  <si>
    <t>baker's chocolate</t>
  </si>
  <si>
    <t>5C3317</t>
  </si>
  <si>
    <t>D2691E</t>
  </si>
  <si>
    <t>chocolate1</t>
  </si>
  <si>
    <t>FF7F24</t>
  </si>
  <si>
    <t>chocolate2</t>
  </si>
  <si>
    <t>EE7621</t>
  </si>
  <si>
    <t>chocolate3</t>
  </si>
  <si>
    <t>CD661D</t>
  </si>
  <si>
    <t>chocolate4</t>
  </si>
  <si>
    <t>CD853F</t>
  </si>
  <si>
    <t>D2B48C</t>
  </si>
  <si>
    <t>tan1</t>
  </si>
  <si>
    <t>FFA54F</t>
  </si>
  <si>
    <t>tan2</t>
  </si>
  <si>
    <t>EE9A49</t>
  </si>
  <si>
    <t>tan3</t>
  </si>
  <si>
    <t>tan4</t>
  </si>
  <si>
    <t>8B5A2B</t>
  </si>
  <si>
    <t>Dark Tan</t>
  </si>
  <si>
    <t>97694F</t>
  </si>
  <si>
    <t>Dark Wood</t>
  </si>
  <si>
    <t>Light Wood</t>
  </si>
  <si>
    <t>Medium Wood</t>
  </si>
  <si>
    <t>A68064</t>
  </si>
  <si>
    <t>New Tan</t>
  </si>
  <si>
    <t>EBC79E</t>
  </si>
  <si>
    <t>6B4226</t>
  </si>
  <si>
    <t>Sienna</t>
  </si>
  <si>
    <t>8E6B23</t>
  </si>
  <si>
    <t>Tan</t>
  </si>
  <si>
    <t>DB9370</t>
  </si>
  <si>
    <t>Very Dark Brown</t>
  </si>
  <si>
    <t>Shades of Green</t>
  </si>
  <si>
    <t>Dark Green</t>
  </si>
  <si>
    <t>2F4F2F</t>
  </si>
  <si>
    <t>DarkGreen</t>
  </si>
  <si>
    <t>dark green copper</t>
  </si>
  <si>
    <t>4A766E</t>
  </si>
  <si>
    <t>DarkKhaki</t>
  </si>
  <si>
    <t>BDB76B</t>
  </si>
  <si>
    <t>DarkOliveGreen</t>
  </si>
  <si>
    <t>556B2F</t>
  </si>
  <si>
    <t>DarkOliveGreen1</t>
  </si>
  <si>
    <t>CAFF70</t>
  </si>
  <si>
    <t>DarkOliveGreen2</t>
  </si>
  <si>
    <t>BCEE68</t>
  </si>
  <si>
    <t>DarkOliveGreen3</t>
  </si>
  <si>
    <t>A2CD5A</t>
  </si>
  <si>
    <t>DarkOliveGreen4</t>
  </si>
  <si>
    <t>6E8B3D</t>
  </si>
  <si>
    <t>DarkSeaGreen</t>
  </si>
  <si>
    <t>8FBC8F</t>
  </si>
  <si>
    <t>DarkSeaGreen1</t>
  </si>
  <si>
    <t>C1FFC1</t>
  </si>
  <si>
    <t>DarkSeaGreen2</t>
  </si>
  <si>
    <t>B4EEB4</t>
  </si>
  <si>
    <t>DarkSeaGreen3</t>
  </si>
  <si>
    <t>9BCD9B</t>
  </si>
  <si>
    <t>DarkSeaGreen4</t>
  </si>
  <si>
    <t>698B69</t>
  </si>
  <si>
    <t>ForestGreen</t>
  </si>
  <si>
    <t>228B22</t>
  </si>
  <si>
    <t>GreenYellow</t>
  </si>
  <si>
    <t>ADFF2F</t>
  </si>
  <si>
    <t>LawnGreen</t>
  </si>
  <si>
    <t>7CFC00</t>
  </si>
  <si>
    <t>LightSeaGreen</t>
  </si>
  <si>
    <t>20B2AA</t>
  </si>
  <si>
    <t>LimeGreen</t>
  </si>
  <si>
    <t>32CD32</t>
  </si>
  <si>
    <t>MediumSeaGreen</t>
  </si>
  <si>
    <t>3CB371</t>
  </si>
  <si>
    <t>MediumSpringGreen</t>
  </si>
  <si>
    <t>00FA9A</t>
  </si>
  <si>
    <t>MintCream</t>
  </si>
  <si>
    <t>F5FFFA</t>
  </si>
  <si>
    <t>OliveDrab</t>
  </si>
  <si>
    <t>6B8E23</t>
  </si>
  <si>
    <t>OliveDrab1</t>
  </si>
  <si>
    <t>C0FF3E</t>
  </si>
  <si>
    <t>OliveDrab2</t>
  </si>
  <si>
    <t>B3EE3A</t>
  </si>
  <si>
    <t>OliveDrab3</t>
  </si>
  <si>
    <t>9ACD32</t>
  </si>
  <si>
    <t>OliveDrab4</t>
  </si>
  <si>
    <t>698B22</t>
  </si>
  <si>
    <t>PaleGreen</t>
  </si>
  <si>
    <t>98FB98</t>
  </si>
  <si>
    <t>PaleGreen1</t>
  </si>
  <si>
    <t>9AFF9A</t>
  </si>
  <si>
    <t>PaleGreen2</t>
  </si>
  <si>
    <t>90EE90</t>
  </si>
  <si>
    <t>PaleGreen3</t>
  </si>
  <si>
    <t>7CCD7C</t>
  </si>
  <si>
    <t>PaleGreen4</t>
  </si>
  <si>
    <t>548B54</t>
  </si>
  <si>
    <t>SeaGreen, SeaGreen4</t>
  </si>
  <si>
    <t>2E8B57</t>
  </si>
  <si>
    <t>SeaGreen1</t>
  </si>
  <si>
    <t>54FF9F</t>
  </si>
  <si>
    <t>SeaGreen2</t>
  </si>
  <si>
    <t>4EEE94</t>
  </si>
  <si>
    <t>SeaGreen3</t>
  </si>
  <si>
    <t>43CD80</t>
  </si>
  <si>
    <t>SpringGreen</t>
  </si>
  <si>
    <t>00FF7F</t>
  </si>
  <si>
    <t>SpringGreen1</t>
  </si>
  <si>
    <t>SpringGreen2</t>
  </si>
  <si>
    <t>00EE76</t>
  </si>
  <si>
    <t>SpringGreen3</t>
  </si>
  <si>
    <t>00CD66</t>
  </si>
  <si>
    <t>SpringGreen4</t>
  </si>
  <si>
    <t>008B45</t>
  </si>
  <si>
    <t>YellowGreen</t>
  </si>
  <si>
    <t>7FFF00</t>
  </si>
  <si>
    <t>chartreuse1</t>
  </si>
  <si>
    <t>chartreuse2</t>
  </si>
  <si>
    <t>76EE00</t>
  </si>
  <si>
    <t>chartreuse3</t>
  </si>
  <si>
    <t>66CD00</t>
  </si>
  <si>
    <t>chartreuse4</t>
  </si>
  <si>
    <t>458B00</t>
  </si>
  <si>
    <t>00FF00</t>
  </si>
  <si>
    <t>green1</t>
  </si>
  <si>
    <t>green2</t>
  </si>
  <si>
    <t>00EE00</t>
  </si>
  <si>
    <t>green3</t>
  </si>
  <si>
    <t>00CD00</t>
  </si>
  <si>
    <t>green4</t>
  </si>
  <si>
    <t>008B00</t>
  </si>
  <si>
    <t>F0E68C</t>
  </si>
  <si>
    <t>khaki1</t>
  </si>
  <si>
    <t>FFF68F</t>
  </si>
  <si>
    <t>khaki2</t>
  </si>
  <si>
    <t>EEE685</t>
  </si>
  <si>
    <t>khaki3</t>
  </si>
  <si>
    <t>CDC673</t>
  </si>
  <si>
    <t>khaki4</t>
  </si>
  <si>
    <t>8B864E</t>
  </si>
  <si>
    <t>Dark Olive Green</t>
  </si>
  <si>
    <t>4F4F2F</t>
  </si>
  <si>
    <t>Green Yellow [sic]</t>
  </si>
  <si>
    <t>D19275</t>
  </si>
  <si>
    <t>Hunter Green [sic]</t>
  </si>
  <si>
    <t>8E2323</t>
  </si>
  <si>
    <t>Forest Green, Khaki, Medium Aquamarine</t>
  </si>
  <si>
    <t>Medium Forest Green</t>
  </si>
  <si>
    <t>DBDB70</t>
  </si>
  <si>
    <t>Medium Sea Green</t>
  </si>
  <si>
    <t>426F42</t>
  </si>
  <si>
    <t>Medium Spring Green</t>
  </si>
  <si>
    <t>Pale Green</t>
  </si>
  <si>
    <t>Sea Green</t>
  </si>
  <si>
    <t>Spring Green</t>
  </si>
  <si>
    <t>Free Speech Green</t>
  </si>
  <si>
    <t>09F911</t>
  </si>
  <si>
    <t>Free Speech Aquamarine</t>
  </si>
  <si>
    <t>029D74</t>
  </si>
  <si>
    <t>Shades of Orange</t>
  </si>
  <si>
    <t>DarkOrange</t>
  </si>
  <si>
    <t>FF8C00</t>
  </si>
  <si>
    <t>DarkOrange1</t>
  </si>
  <si>
    <t>FF7F00</t>
  </si>
  <si>
    <t>DarkOrange2</t>
  </si>
  <si>
    <t>EE7600</t>
  </si>
  <si>
    <t>DarkOrange3</t>
  </si>
  <si>
    <t>CD6600</t>
  </si>
  <si>
    <t>DarkOrange4</t>
  </si>
  <si>
    <t>8B4500</t>
  </si>
  <si>
    <t>DarkSalmon</t>
  </si>
  <si>
    <t>E9967A</t>
  </si>
  <si>
    <t>LightCoral</t>
  </si>
  <si>
    <t>F08080</t>
  </si>
  <si>
    <t>LightSalmon</t>
  </si>
  <si>
    <t>FFA07A</t>
  </si>
  <si>
    <t>LightSalmon1</t>
  </si>
  <si>
    <t>LightSalmon2</t>
  </si>
  <si>
    <t>EE9572</t>
  </si>
  <si>
    <t>LightSalmon3</t>
  </si>
  <si>
    <t>CD8162</t>
  </si>
  <si>
    <t>LightSalmon4</t>
  </si>
  <si>
    <t>8B5742</t>
  </si>
  <si>
    <t>PeachPuff</t>
  </si>
  <si>
    <t>FFDAB9</t>
  </si>
  <si>
    <t>PeachPuff1</t>
  </si>
  <si>
    <t>PeachPuff2</t>
  </si>
  <si>
    <t>EECBAD</t>
  </si>
  <si>
    <t>PeachPuff3</t>
  </si>
  <si>
    <t>CDAF95</t>
  </si>
  <si>
    <t>PeachPuff4</t>
  </si>
  <si>
    <t>8B7765</t>
  </si>
  <si>
    <t>FFE4C4</t>
  </si>
  <si>
    <t>bisque1</t>
  </si>
  <si>
    <t>bisque2</t>
  </si>
  <si>
    <t>EED5B7</t>
  </si>
  <si>
    <t>bisque3</t>
  </si>
  <si>
    <t>CDB79E</t>
  </si>
  <si>
    <t>bisque4</t>
  </si>
  <si>
    <t>8B7D6B</t>
  </si>
  <si>
    <t>FF7F50</t>
  </si>
  <si>
    <t>coral1</t>
  </si>
  <si>
    <t>FF7256</t>
  </si>
  <si>
    <t>coral2</t>
  </si>
  <si>
    <t>EE6A50</t>
  </si>
  <si>
    <t>coral3</t>
  </si>
  <si>
    <t>CD5B45</t>
  </si>
  <si>
    <t>coral4</t>
  </si>
  <si>
    <t>8B3E2F</t>
  </si>
  <si>
    <t>F0FFF0</t>
  </si>
  <si>
    <t>honeydew1</t>
  </si>
  <si>
    <t>honeydew2</t>
  </si>
  <si>
    <t>E0EEE0</t>
  </si>
  <si>
    <t>honeydew3</t>
  </si>
  <si>
    <t>C1CDC1</t>
  </si>
  <si>
    <t>honeydew4</t>
  </si>
  <si>
    <t>838B83</t>
  </si>
  <si>
    <t>FFA500</t>
  </si>
  <si>
    <t>orange1</t>
  </si>
  <si>
    <t>orange2</t>
  </si>
  <si>
    <t>EE9A00</t>
  </si>
  <si>
    <t>orange3</t>
  </si>
  <si>
    <t>CD8500</t>
  </si>
  <si>
    <t>orange4</t>
  </si>
  <si>
    <t>8B5A00</t>
  </si>
  <si>
    <t>FA8072</t>
  </si>
  <si>
    <t>salmon1</t>
  </si>
  <si>
    <t>FF8C69</t>
  </si>
  <si>
    <t>salmon2</t>
  </si>
  <si>
    <t>EE8262</t>
  </si>
  <si>
    <t>salmon3</t>
  </si>
  <si>
    <t>CD7054</t>
  </si>
  <si>
    <t>salmon4</t>
  </si>
  <si>
    <t>8B4C39</t>
  </si>
  <si>
    <t>A0522D</t>
  </si>
  <si>
    <t>sienna1</t>
  </si>
  <si>
    <t>FF8247</t>
  </si>
  <si>
    <t>sienna2</t>
  </si>
  <si>
    <t>EE7942</t>
  </si>
  <si>
    <t>sienna3</t>
  </si>
  <si>
    <t>CD6839</t>
  </si>
  <si>
    <t>sienna4</t>
  </si>
  <si>
    <t>8B4726</t>
  </si>
  <si>
    <t>Mandarian Orange</t>
  </si>
  <si>
    <t>Orange</t>
  </si>
  <si>
    <t>Orange Red</t>
  </si>
  <si>
    <t>FF2400</t>
  </si>
  <si>
    <t>Shades of Red</t>
  </si>
  <si>
    <t>DeepPink</t>
  </si>
  <si>
    <t>FF1493</t>
  </si>
  <si>
    <t>DeepPink1</t>
  </si>
  <si>
    <t>DeepPink2</t>
  </si>
  <si>
    <t>EE1289</t>
  </si>
  <si>
    <t>DeepPink3</t>
  </si>
  <si>
    <t>CD1076</t>
  </si>
  <si>
    <t>DeepPink4</t>
  </si>
  <si>
    <t>8B0A50</t>
  </si>
  <si>
    <t>HotPink</t>
  </si>
  <si>
    <t>FF69B4</t>
  </si>
  <si>
    <t>HotPink1</t>
  </si>
  <si>
    <t>FF6EB4</t>
  </si>
  <si>
    <t>HotPink2</t>
  </si>
  <si>
    <t>EE6AA7</t>
  </si>
  <si>
    <t>HotPink3</t>
  </si>
  <si>
    <t>CD6090</t>
  </si>
  <si>
    <t>HotPink4</t>
  </si>
  <si>
    <t>8B3A62</t>
  </si>
  <si>
    <t>IndianRed</t>
  </si>
  <si>
    <t>CD5C5C</t>
  </si>
  <si>
    <t>IndianRed1</t>
  </si>
  <si>
    <t>FF6A6A</t>
  </si>
  <si>
    <t>IndianRed2</t>
  </si>
  <si>
    <t>EE6363</t>
  </si>
  <si>
    <t>IndianRed3</t>
  </si>
  <si>
    <t>CD5555</t>
  </si>
  <si>
    <t>IndianRed4</t>
  </si>
  <si>
    <t>8B3A3A</t>
  </si>
  <si>
    <t>LightPink</t>
  </si>
  <si>
    <t>FFB6C1</t>
  </si>
  <si>
    <t>LightPink1</t>
  </si>
  <si>
    <t>FFAEB9</t>
  </si>
  <si>
    <t>LightPink2</t>
  </si>
  <si>
    <t>EEA2AD</t>
  </si>
  <si>
    <t>LightPink3</t>
  </si>
  <si>
    <t>CD8C95</t>
  </si>
  <si>
    <t>LightPink4</t>
  </si>
  <si>
    <t>8B5F65</t>
  </si>
  <si>
    <t>MediumVioletRed</t>
  </si>
  <si>
    <t>C71585</t>
  </si>
  <si>
    <t>MistyRose</t>
  </si>
  <si>
    <t>FFE4E1</t>
  </si>
  <si>
    <t>MistyRose1</t>
  </si>
  <si>
    <t>MistyRose2</t>
  </si>
  <si>
    <t>EED5D2</t>
  </si>
  <si>
    <t>MistyRose3</t>
  </si>
  <si>
    <t>CDB7B5</t>
  </si>
  <si>
    <t>MistyRose4</t>
  </si>
  <si>
    <t>8B7D7B</t>
  </si>
  <si>
    <t>OrangeRed</t>
  </si>
  <si>
    <t>FF4500</t>
  </si>
  <si>
    <t>OrangeRed1</t>
  </si>
  <si>
    <t>OrangeRed2</t>
  </si>
  <si>
    <t>EE4000</t>
  </si>
  <si>
    <t>OrangeRed3</t>
  </si>
  <si>
    <t>CD3700</t>
  </si>
  <si>
    <t>OrangeRed4</t>
  </si>
  <si>
    <t>8B2500</t>
  </si>
  <si>
    <t>PaleVioletRed</t>
  </si>
  <si>
    <t>DB7093</t>
  </si>
  <si>
    <t>PaleVioletRed1</t>
  </si>
  <si>
    <t>FF82AB</t>
  </si>
  <si>
    <t>PaleVioletRed2</t>
  </si>
  <si>
    <t>EE799F</t>
  </si>
  <si>
    <t>PaleVioletRed3</t>
  </si>
  <si>
    <t>CD6889</t>
  </si>
  <si>
    <t>PaleVioletRed4</t>
  </si>
  <si>
    <t>8B475D</t>
  </si>
  <si>
    <t>VioletRed</t>
  </si>
  <si>
    <t>D02090</t>
  </si>
  <si>
    <t>VioletRed1</t>
  </si>
  <si>
    <t>FF3E96</t>
  </si>
  <si>
    <t>VioletRed2</t>
  </si>
  <si>
    <t>EE3A8C</t>
  </si>
  <si>
    <t>VioletRed3</t>
  </si>
  <si>
    <t>CD3278</t>
  </si>
  <si>
    <t>VioletRed4</t>
  </si>
  <si>
    <t>8B2252</t>
  </si>
  <si>
    <t>B22222</t>
  </si>
  <si>
    <t>firebrick1</t>
  </si>
  <si>
    <t>FF3030</t>
  </si>
  <si>
    <t>firebrick2</t>
  </si>
  <si>
    <t>EE2C2C</t>
  </si>
  <si>
    <t>firebrick3</t>
  </si>
  <si>
    <t>CD2626</t>
  </si>
  <si>
    <t>firebrick4</t>
  </si>
  <si>
    <t>8B1A1A</t>
  </si>
  <si>
    <t>FFC0CB</t>
  </si>
  <si>
    <t>pink1</t>
  </si>
  <si>
    <t>FFB5C5</t>
  </si>
  <si>
    <t>pink2</t>
  </si>
  <si>
    <t>EEA9B8</t>
  </si>
  <si>
    <t>pink3</t>
  </si>
  <si>
    <t>CD919E</t>
  </si>
  <si>
    <t>pink4</t>
  </si>
  <si>
    <t>8B636C</t>
  </si>
  <si>
    <t>Flesh</t>
  </si>
  <si>
    <t>F5CCB0</t>
  </si>
  <si>
    <t>Feldspar</t>
  </si>
  <si>
    <t>CC3333</t>
  </si>
  <si>
    <t>FF0000</t>
  </si>
  <si>
    <t>red1</t>
  </si>
  <si>
    <t>red2</t>
  </si>
  <si>
    <t>EE0000</t>
  </si>
  <si>
    <t>red3</t>
  </si>
  <si>
    <t>CD0000</t>
  </si>
  <si>
    <t>red4</t>
  </si>
  <si>
    <t>8B0000</t>
  </si>
  <si>
    <t>FF6347</t>
  </si>
  <si>
    <t>tomato1</t>
  </si>
  <si>
    <t>tomato2</t>
  </si>
  <si>
    <t>EE5C42</t>
  </si>
  <si>
    <t>tomato3</t>
  </si>
  <si>
    <t>CD4F39</t>
  </si>
  <si>
    <t>tomato4</t>
  </si>
  <si>
    <t>8B3626</t>
  </si>
  <si>
    <t>Dusty Rose</t>
  </si>
  <si>
    <t>Firebrick</t>
  </si>
  <si>
    <t>Indian Red</t>
  </si>
  <si>
    <t>Pink</t>
  </si>
  <si>
    <t>Salmon</t>
  </si>
  <si>
    <t>6F4242</t>
  </si>
  <si>
    <t>Scarlet</t>
  </si>
  <si>
    <t>8C1717</t>
  </si>
  <si>
    <t>Spicy Pink</t>
  </si>
  <si>
    <t>FF1CAE</t>
  </si>
  <si>
    <t>Free Speech Magenta</t>
  </si>
  <si>
    <t>E35BD8</t>
  </si>
  <si>
    <t>Free Speech Red</t>
  </si>
  <si>
    <t>C00000</t>
  </si>
  <si>
    <t>Shades of Violet</t>
  </si>
  <si>
    <t>DarkOrchid</t>
  </si>
  <si>
    <t>9932CC</t>
  </si>
  <si>
    <t>DarkOrchid1</t>
  </si>
  <si>
    <t>BF3EFF</t>
  </si>
  <si>
    <t>DarkOrchid2</t>
  </si>
  <si>
    <t>B23AEE</t>
  </si>
  <si>
    <t>DarkOrchid3</t>
  </si>
  <si>
    <t>9A32CD</t>
  </si>
  <si>
    <t>DarkOrchid4</t>
  </si>
  <si>
    <t>68228B</t>
  </si>
  <si>
    <t>DarkViolet</t>
  </si>
  <si>
    <t>9400D3</t>
  </si>
  <si>
    <t>LavenderBlush</t>
  </si>
  <si>
    <t>FFF0F5</t>
  </si>
  <si>
    <t>LavenderBlush1</t>
  </si>
  <si>
    <t>LavenderBlush2</t>
  </si>
  <si>
    <t>EEE0E5</t>
  </si>
  <si>
    <t>LavenderBlush3</t>
  </si>
  <si>
    <t>CDC1C5</t>
  </si>
  <si>
    <t>LavenderBlush4</t>
  </si>
  <si>
    <t>8B8386</t>
  </si>
  <si>
    <t>MediumOrchid</t>
  </si>
  <si>
    <t>BA55D3</t>
  </si>
  <si>
    <t>MediumOrchid1</t>
  </si>
  <si>
    <t>E066FF</t>
  </si>
  <si>
    <t>MediumOrchid2</t>
  </si>
  <si>
    <t>D15FEE</t>
  </si>
  <si>
    <t>MediumOrchid3</t>
  </si>
  <si>
    <t>B452CD</t>
  </si>
  <si>
    <t>MediumOrchid4</t>
  </si>
  <si>
    <t>7A378B</t>
  </si>
  <si>
    <t>MediumPurple</t>
  </si>
  <si>
    <t>9370DB</t>
  </si>
  <si>
    <t>Medium Orchid</t>
  </si>
  <si>
    <t>MediumPurple1</t>
  </si>
  <si>
    <t>AB82FF</t>
  </si>
  <si>
    <t>Dark Orchid</t>
  </si>
  <si>
    <t>9932CD</t>
  </si>
  <si>
    <t>MediumPurple2</t>
  </si>
  <si>
    <t>9F79EE</t>
  </si>
  <si>
    <t>MediumPurple3</t>
  </si>
  <si>
    <t>8968CD</t>
  </si>
  <si>
    <t>MediumPurple4</t>
  </si>
  <si>
    <t>5D478B</t>
  </si>
  <si>
    <t>E6E6FA</t>
  </si>
  <si>
    <t>magenta</t>
  </si>
  <si>
    <t>FF00FF</t>
  </si>
  <si>
    <t>fuchsia</t>
  </si>
  <si>
    <t>magenta1</t>
  </si>
  <si>
    <t>magenta2</t>
  </si>
  <si>
    <t>EE00EE</t>
  </si>
  <si>
    <t>magenta3</t>
  </si>
  <si>
    <t>CD00CD</t>
  </si>
  <si>
    <t>magenta4</t>
  </si>
  <si>
    <t>8B008B</t>
  </si>
  <si>
    <t>B03060</t>
  </si>
  <si>
    <t>maroon1</t>
  </si>
  <si>
    <t>FF34B3</t>
  </si>
  <si>
    <t>maroon2</t>
  </si>
  <si>
    <t>EE30A7</t>
  </si>
  <si>
    <t>maroon3</t>
  </si>
  <si>
    <t>CD2990</t>
  </si>
  <si>
    <t>maroon4</t>
  </si>
  <si>
    <t>8B1C62</t>
  </si>
  <si>
    <t>DA70D6</t>
  </si>
  <si>
    <t>Orchid</t>
  </si>
  <si>
    <t>DB70DB</t>
  </si>
  <si>
    <t>orchid1</t>
  </si>
  <si>
    <t>FF83FA</t>
  </si>
  <si>
    <t>orchid2</t>
  </si>
  <si>
    <t>EE7AE9</t>
  </si>
  <si>
    <t>orchid3</t>
  </si>
  <si>
    <t>CD69C9</t>
  </si>
  <si>
    <t>orchid4</t>
  </si>
  <si>
    <t>8B4789</t>
  </si>
  <si>
    <t>DDA0DD</t>
  </si>
  <si>
    <t>plum1</t>
  </si>
  <si>
    <t>FFBBFF</t>
  </si>
  <si>
    <t>plum2</t>
  </si>
  <si>
    <t>EEAEEE</t>
  </si>
  <si>
    <t>plum3</t>
  </si>
  <si>
    <t>CD96CD</t>
  </si>
  <si>
    <t>plum4</t>
  </si>
  <si>
    <t>8B668B</t>
  </si>
  <si>
    <t>9966CC</t>
  </si>
  <si>
    <t>A020F0</t>
  </si>
  <si>
    <t>purple1</t>
  </si>
  <si>
    <t>9B30FF</t>
  </si>
  <si>
    <t>purple2</t>
  </si>
  <si>
    <t>912CEE</t>
  </si>
  <si>
    <t>purple3</t>
  </si>
  <si>
    <t>7D26CD</t>
  </si>
  <si>
    <t>purple4</t>
  </si>
  <si>
    <t>551A8B</t>
  </si>
  <si>
    <t>D8BFD8</t>
  </si>
  <si>
    <t>thistle1</t>
  </si>
  <si>
    <t>FFE1FF</t>
  </si>
  <si>
    <t>thistle2</t>
  </si>
  <si>
    <t>EED2EE</t>
  </si>
  <si>
    <t>thistle3</t>
  </si>
  <si>
    <t>CDB5CD</t>
  </si>
  <si>
    <t>thistle4</t>
  </si>
  <si>
    <t>8B7B8B</t>
  </si>
  <si>
    <t>EE82EE</t>
  </si>
  <si>
    <t>violet blue</t>
  </si>
  <si>
    <t>9F5F9F</t>
  </si>
  <si>
    <t>Dark Purple</t>
  </si>
  <si>
    <t>871F78</t>
  </si>
  <si>
    <t>Medium Violet Red</t>
  </si>
  <si>
    <t>Neon Pink</t>
  </si>
  <si>
    <t>FF6EC7</t>
  </si>
  <si>
    <t>Plum</t>
  </si>
  <si>
    <t>EAADEA</t>
  </si>
  <si>
    <t>Thistle</t>
  </si>
  <si>
    <t>Turquoise</t>
  </si>
  <si>
    <t>ADEAEA</t>
  </si>
  <si>
    <t>Violet</t>
  </si>
  <si>
    <t>4F2F4F</t>
  </si>
  <si>
    <t>Violet Red</t>
  </si>
  <si>
    <t>CC3299</t>
  </si>
  <si>
    <t>AntiqueWhite</t>
  </si>
  <si>
    <t>FAEBD7</t>
  </si>
  <si>
    <t>AntiqueWhite1</t>
  </si>
  <si>
    <t>FFEFDB</t>
  </si>
  <si>
    <t>AntiqueWhite2</t>
  </si>
  <si>
    <t>EEDFCC</t>
  </si>
  <si>
    <t>AntiqueWhite3</t>
  </si>
  <si>
    <t>CDC0B0</t>
  </si>
  <si>
    <t>AntiqueWhite4</t>
  </si>
  <si>
    <t>8B8378</t>
  </si>
  <si>
    <t>FloralWhite</t>
  </si>
  <si>
    <t>FFFAF0</t>
  </si>
  <si>
    <t>GhostWhite</t>
  </si>
  <si>
    <t>F8F8FF</t>
  </si>
  <si>
    <t>NavajoWhite</t>
  </si>
  <si>
    <t>FFDEAD</t>
  </si>
  <si>
    <t>NavajoWhite1</t>
  </si>
  <si>
    <t>NavajoWhite2</t>
  </si>
  <si>
    <t>EECFA1</t>
  </si>
  <si>
    <t>NavajoWhite3</t>
  </si>
  <si>
    <t>CDB38B</t>
  </si>
  <si>
    <t>NavajoWhite4</t>
  </si>
  <si>
    <t>8B795E</t>
  </si>
  <si>
    <t>OldLace</t>
  </si>
  <si>
    <t>FDF5E6</t>
  </si>
  <si>
    <t>WhiteSmoke</t>
  </si>
  <si>
    <t>DCDCDC</t>
  </si>
  <si>
    <t>FFFFF0</t>
  </si>
  <si>
    <t>ivory1</t>
  </si>
  <si>
    <t>ivory2</t>
  </si>
  <si>
    <t>EEEEE0</t>
  </si>
  <si>
    <t>ivory3</t>
  </si>
  <si>
    <t>CDCDC1</t>
  </si>
  <si>
    <t>ivory4</t>
  </si>
  <si>
    <t>8B8B83</t>
  </si>
  <si>
    <t>FAF0E6</t>
  </si>
  <si>
    <t>seashell</t>
  </si>
  <si>
    <t>FFF5EE</t>
  </si>
  <si>
    <t>seashell1</t>
  </si>
  <si>
    <t>seashell2</t>
  </si>
  <si>
    <t>EEE5DE</t>
  </si>
  <si>
    <t>seashell3</t>
  </si>
  <si>
    <t>CDC5BF</t>
  </si>
  <si>
    <t>seashell4</t>
  </si>
  <si>
    <t>8B8682</t>
  </si>
  <si>
    <t>FFFAFA</t>
  </si>
  <si>
    <t>snow1</t>
  </si>
  <si>
    <t>snow2</t>
  </si>
  <si>
    <t>EEE9E9</t>
  </si>
  <si>
    <t>snow3</t>
  </si>
  <si>
    <t>CDC9C9</t>
  </si>
  <si>
    <t>snow4</t>
  </si>
  <si>
    <t>8B8989</t>
  </si>
  <si>
    <t>F5DEB3</t>
  </si>
  <si>
    <t>wheat1</t>
  </si>
  <si>
    <t>FFE7BA</t>
  </si>
  <si>
    <t>wheat2</t>
  </si>
  <si>
    <t>EED8AE</t>
  </si>
  <si>
    <t>wheat3</t>
  </si>
  <si>
    <t>CDBA96</t>
  </si>
  <si>
    <t>wheat4</t>
  </si>
  <si>
    <t>8B7E66</t>
  </si>
  <si>
    <t>Quartz</t>
  </si>
  <si>
    <t>D9D9F3</t>
  </si>
  <si>
    <t>Wheat</t>
  </si>
  <si>
    <t>D8D8BF</t>
  </si>
  <si>
    <t>BlanchedAlmond</t>
  </si>
  <si>
    <t>FFEBCD</t>
  </si>
  <si>
    <t>DarkGoldenrod</t>
  </si>
  <si>
    <t>B8860B</t>
  </si>
  <si>
    <t>DarkGoldenrod1</t>
  </si>
  <si>
    <t>FFB90F</t>
  </si>
  <si>
    <t>DarkGoldenrod2</t>
  </si>
  <si>
    <t>EEAD0E</t>
  </si>
  <si>
    <t>DarkGoldenrod3</t>
  </si>
  <si>
    <t>CD950C</t>
  </si>
  <si>
    <t>DarkGoldenrod4</t>
  </si>
  <si>
    <t>8B6508</t>
  </si>
  <si>
    <t>LemonChiffon</t>
  </si>
  <si>
    <t>FFFACD</t>
  </si>
  <si>
    <t>LemonChiffon1</t>
  </si>
  <si>
    <t>LemonChiffon2</t>
  </si>
  <si>
    <t>EEE9BF</t>
  </si>
  <si>
    <t>LemonChiffon3</t>
  </si>
  <si>
    <t>CDC9A5</t>
  </si>
  <si>
    <t>LemonChiffon4</t>
  </si>
  <si>
    <t>8B8970</t>
  </si>
  <si>
    <t>LightGoldenrod</t>
  </si>
  <si>
    <t>EEDD82</t>
  </si>
  <si>
    <t>LightGoldenrod1</t>
  </si>
  <si>
    <t>FFEC8B</t>
  </si>
  <si>
    <t>LightGoldenrod2</t>
  </si>
  <si>
    <t>EEDC82</t>
  </si>
  <si>
    <t>LightGoldenrod3</t>
  </si>
  <si>
    <t>CDBE70</t>
  </si>
  <si>
    <t>LightGoldenrod4</t>
  </si>
  <si>
    <t>8B814C</t>
  </si>
  <si>
    <t>LightGoldenrodYellow</t>
  </si>
  <si>
    <t>FAFAD2</t>
  </si>
  <si>
    <t>LightYellow</t>
  </si>
  <si>
    <t>FFFFE0</t>
  </si>
  <si>
    <t>LightYellow1</t>
  </si>
  <si>
    <t>LightYellow2</t>
  </si>
  <si>
    <t>EEEED1</t>
  </si>
  <si>
    <t>LightYellow3</t>
  </si>
  <si>
    <t>CDCDB4</t>
  </si>
  <si>
    <t>LightYellow4</t>
  </si>
  <si>
    <t>8B8B7A</t>
  </si>
  <si>
    <t>PaleGoldenrod</t>
  </si>
  <si>
    <t>EEE8AA</t>
  </si>
  <si>
    <t>PapayaWhip</t>
  </si>
  <si>
    <t>FFEFD5</t>
  </si>
  <si>
    <t>cornsilk</t>
  </si>
  <si>
    <t>FFF8DC</t>
  </si>
  <si>
    <t>cornsilk1</t>
  </si>
  <si>
    <t>cornsilk2</t>
  </si>
  <si>
    <t>EEE8CD</t>
  </si>
  <si>
    <t>cornsilk3</t>
  </si>
  <si>
    <t>CDC8B1</t>
  </si>
  <si>
    <t>cornsilk4</t>
  </si>
  <si>
    <t>8B8878</t>
  </si>
  <si>
    <t>goldenrod</t>
  </si>
  <si>
    <t>DAA520</t>
  </si>
  <si>
    <t>goldenrod1</t>
  </si>
  <si>
    <t>FFC125</t>
  </si>
  <si>
    <t>goldenrod2</t>
  </si>
  <si>
    <t>EEB422</t>
  </si>
  <si>
    <t>goldenrod3</t>
  </si>
  <si>
    <t>CD9B1D</t>
  </si>
  <si>
    <t>goldenrod4</t>
  </si>
  <si>
    <t>8B6914</t>
  </si>
  <si>
    <t>FFE4B5</t>
  </si>
  <si>
    <t>FFFF00</t>
  </si>
  <si>
    <t>yellow1</t>
  </si>
  <si>
    <t>yellow2</t>
  </si>
  <si>
    <t>EEEE00</t>
  </si>
  <si>
    <t>yellow3</t>
  </si>
  <si>
    <t>CDCD00</t>
  </si>
  <si>
    <t>yellow4</t>
  </si>
  <si>
    <t>8B8B00</t>
  </si>
  <si>
    <t>FFD700</t>
  </si>
  <si>
    <t>gold1</t>
  </si>
  <si>
    <t>gold2</t>
  </si>
  <si>
    <t>EEC900</t>
  </si>
  <si>
    <t>gold3</t>
  </si>
  <si>
    <t>CDAD00</t>
  </si>
  <si>
    <t>gold4</t>
  </si>
  <si>
    <t>8B7500</t>
  </si>
  <si>
    <t>Goldenrod</t>
  </si>
  <si>
    <t>Medium Goldenrod</t>
  </si>
  <si>
    <t>EAEAAE</t>
  </si>
  <si>
    <t>Yellow Green</t>
  </si>
  <si>
    <t>99CC32</t>
  </si>
  <si>
    <t>Shades of Metal</t>
  </si>
  <si>
    <t>copper</t>
  </si>
  <si>
    <t>B87333</t>
  </si>
  <si>
    <t>cool copper</t>
  </si>
  <si>
    <t>D98719</t>
  </si>
  <si>
    <t>Green Copper</t>
  </si>
  <si>
    <t>brass</t>
  </si>
  <si>
    <t>B5A642</t>
  </si>
  <si>
    <t>bronze</t>
  </si>
  <si>
    <t>8C7853</t>
  </si>
  <si>
    <t>bronze II</t>
  </si>
  <si>
    <t>A67D3D</t>
  </si>
  <si>
    <t>bright gold</t>
  </si>
  <si>
    <t>D9D919</t>
  </si>
  <si>
    <t>Old Gold</t>
  </si>
  <si>
    <t>CFB53B</t>
  </si>
  <si>
    <t>CSS Gold</t>
  </si>
  <si>
    <t>CC9900</t>
  </si>
  <si>
    <t>CD7F32</t>
  </si>
  <si>
    <t>E6E8FA</t>
  </si>
  <si>
    <t>Silver, Grey</t>
  </si>
  <si>
    <t>Light Steel Blue</t>
  </si>
  <si>
    <t>Steel Blue</t>
  </si>
  <si>
    <t>236B8E</t>
  </si>
  <si>
    <t>Absolute Zero</t>
  </si>
  <si>
    <t>Acid green</t>
  </si>
  <si>
    <t>Aero</t>
  </si>
  <si>
    <t>African violet</t>
  </si>
  <si>
    <t>Air superiority blue</t>
  </si>
  <si>
    <t>Alice blue</t>
  </si>
  <si>
    <t>Alizarin</t>
  </si>
  <si>
    <t>Alloy orange</t>
  </si>
  <si>
    <t>Almond</t>
  </si>
  <si>
    <t>Amaranth deep purple</t>
  </si>
  <si>
    <t>Amaranth pink</t>
  </si>
  <si>
    <t>Amaranth purple</t>
  </si>
  <si>
    <t>Amazon</t>
  </si>
  <si>
    <t>Amber</t>
  </si>
  <si>
    <t>Amethyst</t>
  </si>
  <si>
    <t>Android green</t>
  </si>
  <si>
    <t>Antique brass</t>
  </si>
  <si>
    <t>Antique bronze</t>
  </si>
  <si>
    <t>Antique fuchsia</t>
  </si>
  <si>
    <t>Antique ruby</t>
  </si>
  <si>
    <t>Antique white</t>
  </si>
  <si>
    <t>Apricot</t>
  </si>
  <si>
    <t>Aqua</t>
  </si>
  <si>
    <t>Arctic lime</t>
  </si>
  <si>
    <t>Artichoke green</t>
  </si>
  <si>
    <t>Arylide yellow</t>
  </si>
  <si>
    <t>Ash gray</t>
  </si>
  <si>
    <t>Atomic tangerine</t>
  </si>
  <si>
    <t>Aureolin</t>
  </si>
  <si>
    <t>Azure</t>
  </si>
  <si>
    <t>Baby blue</t>
  </si>
  <si>
    <t>Baby blue eyes</t>
  </si>
  <si>
    <t>Baby pink</t>
  </si>
  <si>
    <t>Baby powder</t>
  </si>
  <si>
    <t>Banana Mania</t>
  </si>
  <si>
    <t>Barn red</t>
  </si>
  <si>
    <t>Battleship grey</t>
  </si>
  <si>
    <t>Beau blue</t>
  </si>
  <si>
    <t>Beaver</t>
  </si>
  <si>
    <t>Beige</t>
  </si>
  <si>
    <t>B'dazzled blue</t>
  </si>
  <si>
    <t>Big dip o’ruby</t>
  </si>
  <si>
    <t>Bisque</t>
  </si>
  <si>
    <t>Bistre</t>
  </si>
  <si>
    <t>Bistre brown</t>
  </si>
  <si>
    <t>Bitter lemon</t>
  </si>
  <si>
    <t>Black bean</t>
  </si>
  <si>
    <t>Black coral</t>
  </si>
  <si>
    <t>Black olive</t>
  </si>
  <si>
    <t>Black Shadows</t>
  </si>
  <si>
    <t>Blanched almond</t>
  </si>
  <si>
    <t>Bleu de France</t>
  </si>
  <si>
    <t>Blizzard blue</t>
  </si>
  <si>
    <t>Blood red</t>
  </si>
  <si>
    <t>Blue bell</t>
  </si>
  <si>
    <t>Blue jeans</t>
  </si>
  <si>
    <t>Blue sapphire</t>
  </si>
  <si>
    <t>Blue yonder</t>
  </si>
  <si>
    <t>Bluetiful</t>
  </si>
  <si>
    <t>Blush</t>
  </si>
  <si>
    <t>Bole</t>
  </si>
  <si>
    <t>Bone</t>
  </si>
  <si>
    <t>Brick red</t>
  </si>
  <si>
    <t>Bright lilac</t>
  </si>
  <si>
    <t>Bright maroon</t>
  </si>
  <si>
    <t>Bright navy blue</t>
  </si>
  <si>
    <t>Bronze</t>
  </si>
  <si>
    <t>Brown sugar</t>
  </si>
  <si>
    <t>Bud green</t>
  </si>
  <si>
    <t>Buff</t>
  </si>
  <si>
    <t>Burgundy</t>
  </si>
  <si>
    <t>Burlywood</t>
  </si>
  <si>
    <t>Burnished brown</t>
  </si>
  <si>
    <t>Burnt orange</t>
  </si>
  <si>
    <t>Burnt sienna</t>
  </si>
  <si>
    <t>Burnt umber</t>
  </si>
  <si>
    <t>Byzantine</t>
  </si>
  <si>
    <t>Byzantium</t>
  </si>
  <si>
    <t>Cadet blue</t>
  </si>
  <si>
    <t>Cadet grey</t>
  </si>
  <si>
    <t>Cadmium green</t>
  </si>
  <si>
    <t>Cadmium orange</t>
  </si>
  <si>
    <t>Café au lait</t>
  </si>
  <si>
    <t>Café noir</t>
  </si>
  <si>
    <t>Cambridge blue</t>
  </si>
  <si>
    <t>Camel</t>
  </si>
  <si>
    <t>Cameo pink</t>
  </si>
  <si>
    <t>Canary</t>
  </si>
  <si>
    <t>Canary yellow</t>
  </si>
  <si>
    <t>Candy pink</t>
  </si>
  <si>
    <t>Capri</t>
  </si>
  <si>
    <t>Cardinal</t>
  </si>
  <si>
    <t>Caribbean green</t>
  </si>
  <si>
    <t>Carmine</t>
  </si>
  <si>
    <t>Carnation pink</t>
  </si>
  <si>
    <t>Carnelian</t>
  </si>
  <si>
    <t>Carolina blue</t>
  </si>
  <si>
    <t>Carrot orange</t>
  </si>
  <si>
    <t>Catawba</t>
  </si>
  <si>
    <t>Cedar Chest</t>
  </si>
  <si>
    <t>Celadon</t>
  </si>
  <si>
    <t>Celeste</t>
  </si>
  <si>
    <t>Cerise</t>
  </si>
  <si>
    <t>Cerulean</t>
  </si>
  <si>
    <t>Cerulean blue</t>
  </si>
  <si>
    <t>Cerulean frost</t>
  </si>
  <si>
    <t>Champagne</t>
  </si>
  <si>
    <t>Champagne pink</t>
  </si>
  <si>
    <t>Charcoal</t>
  </si>
  <si>
    <t>Charm pink</t>
  </si>
  <si>
    <t>Cherry blossom pink</t>
  </si>
  <si>
    <t>Chestnut</t>
  </si>
  <si>
    <t>Chili red</t>
  </si>
  <si>
    <t>China pink</t>
  </si>
  <si>
    <t>Chinese red</t>
  </si>
  <si>
    <t>Chinese violet</t>
  </si>
  <si>
    <t>Chinese yellow</t>
  </si>
  <si>
    <t>Cinereous</t>
  </si>
  <si>
    <t>Cinnabar</t>
  </si>
  <si>
    <t>Cinnamon Satin</t>
  </si>
  <si>
    <t>Citrine</t>
  </si>
  <si>
    <t>Citron</t>
  </si>
  <si>
    <t>Claret</t>
  </si>
  <si>
    <t>Coffee</t>
  </si>
  <si>
    <t>Columbia Blue</t>
  </si>
  <si>
    <t>Congo pink</t>
  </si>
  <si>
    <t>Cool grey</t>
  </si>
  <si>
    <t>Copper</t>
  </si>
  <si>
    <t>Copper penny</t>
  </si>
  <si>
    <t>Copper red</t>
  </si>
  <si>
    <t>Copper rose</t>
  </si>
  <si>
    <t>Coquelicot</t>
  </si>
  <si>
    <t>Coral</t>
  </si>
  <si>
    <t>Coral pink</t>
  </si>
  <si>
    <t>Cordovan</t>
  </si>
  <si>
    <t>Corn</t>
  </si>
  <si>
    <t>Cornflower blue</t>
  </si>
  <si>
    <t>Cornsilk</t>
  </si>
  <si>
    <t>Cosmic cobalt</t>
  </si>
  <si>
    <t>Cosmic latte</t>
  </si>
  <si>
    <t>Coyote brown</t>
  </si>
  <si>
    <t>Cotton candy</t>
  </si>
  <si>
    <t>Cream</t>
  </si>
  <si>
    <t>Crimson</t>
  </si>
  <si>
    <t>Cultured</t>
  </si>
  <si>
    <t>Cyan</t>
  </si>
  <si>
    <t>Cyber grape</t>
  </si>
  <si>
    <t>Cyber yellow</t>
  </si>
  <si>
    <t>Cyclamen</t>
  </si>
  <si>
    <t>Dark brown</t>
  </si>
  <si>
    <t>Dark byzantium</t>
  </si>
  <si>
    <t>Dark cyan</t>
  </si>
  <si>
    <t>Dark electric blue</t>
  </si>
  <si>
    <t>Dark goldenrod</t>
  </si>
  <si>
    <t>Dark jungle green</t>
  </si>
  <si>
    <t>Dark khaki</t>
  </si>
  <si>
    <t>Dark lava</t>
  </si>
  <si>
    <t>Dark magenta</t>
  </si>
  <si>
    <t>Dark olive green</t>
  </si>
  <si>
    <t>Dark orange</t>
  </si>
  <si>
    <t>Dark orchid</t>
  </si>
  <si>
    <t>Dark purple</t>
  </si>
  <si>
    <t>Dark red</t>
  </si>
  <si>
    <t>Dark salmon</t>
  </si>
  <si>
    <t>Dark sea green</t>
  </si>
  <si>
    <t>Dark sienna</t>
  </si>
  <si>
    <t>Dark sky blue</t>
  </si>
  <si>
    <t>Dark slate blue</t>
  </si>
  <si>
    <t>Dark slate gray</t>
  </si>
  <si>
    <t>Dark spring green</t>
  </si>
  <si>
    <t>Dark turquoise</t>
  </si>
  <si>
    <t>Dark violet</t>
  </si>
  <si>
    <t>Davy's grey</t>
  </si>
  <si>
    <t>Deep cerise</t>
  </si>
  <si>
    <t>Deep champagne</t>
  </si>
  <si>
    <t>Deep chestnut</t>
  </si>
  <si>
    <t>Deep jungle green</t>
  </si>
  <si>
    <t>Deep pink</t>
  </si>
  <si>
    <t>Deep saffron</t>
  </si>
  <si>
    <t>Deep sky blue</t>
  </si>
  <si>
    <t>Deep Space Sparkle</t>
  </si>
  <si>
    <t>Deep taupe</t>
  </si>
  <si>
    <t>Denim</t>
  </si>
  <si>
    <t>Denim blue</t>
  </si>
  <si>
    <t>Desert</t>
  </si>
  <si>
    <t>Desert sand</t>
  </si>
  <si>
    <t>Dim gray</t>
  </si>
  <si>
    <t>Dodger blue</t>
  </si>
  <si>
    <t>Drab</t>
  </si>
  <si>
    <t>Duke blue</t>
  </si>
  <si>
    <t>Dutch white</t>
  </si>
  <si>
    <t>Ebony</t>
  </si>
  <si>
    <t>Ecru</t>
  </si>
  <si>
    <t>Eerie black</t>
  </si>
  <si>
    <t>Eggplant</t>
  </si>
  <si>
    <t>Eggshell</t>
  </si>
  <si>
    <t>Electric lime</t>
  </si>
  <si>
    <t>Electric purple</t>
  </si>
  <si>
    <t>Electric violet</t>
  </si>
  <si>
    <t>Emerald</t>
  </si>
  <si>
    <t>Eminence</t>
  </si>
  <si>
    <t>English lavender</t>
  </si>
  <si>
    <t>English red</t>
  </si>
  <si>
    <t>English vermillion</t>
  </si>
  <si>
    <t>English violet</t>
  </si>
  <si>
    <t>Erin</t>
  </si>
  <si>
    <t>Eton blue</t>
  </si>
  <si>
    <t>Fallow</t>
  </si>
  <si>
    <t>Falu red</t>
  </si>
  <si>
    <t>Fandango</t>
  </si>
  <si>
    <t>Fandango pink</t>
  </si>
  <si>
    <t>Fawn</t>
  </si>
  <si>
    <t>Fern green</t>
  </si>
  <si>
    <t>Field drab</t>
  </si>
  <si>
    <t>Fiery rose</t>
  </si>
  <si>
    <t>Finn</t>
  </si>
  <si>
    <t>Fire engine red</t>
  </si>
  <si>
    <t>Flame</t>
  </si>
  <si>
    <t>Flax</t>
  </si>
  <si>
    <t>Flirt</t>
  </si>
  <si>
    <t>Floral white</t>
  </si>
  <si>
    <t>French beige</t>
  </si>
  <si>
    <t>French bistre</t>
  </si>
  <si>
    <t>French blue</t>
  </si>
  <si>
    <t>French fuchsia</t>
  </si>
  <si>
    <t>French lilac</t>
  </si>
  <si>
    <t>French lime</t>
  </si>
  <si>
    <t>French mauve</t>
  </si>
  <si>
    <t>French pink</t>
  </si>
  <si>
    <t>French raspberry</t>
  </si>
  <si>
    <t>French sky blue</t>
  </si>
  <si>
    <t>French violet</t>
  </si>
  <si>
    <t>Frostbite</t>
  </si>
  <si>
    <t>Fuchsia</t>
  </si>
  <si>
    <t>Fulvous</t>
  </si>
  <si>
    <t>Fuzzy Wuzzy</t>
  </si>
  <si>
    <t>FireBrick</t>
  </si>
  <si>
    <t>DarkRed</t>
  </si>
  <si>
    <t>Pink HTML Color Names</t>
  </si>
  <si>
    <t>Orange HTML Color Names</t>
  </si>
  <si>
    <t>Tomato</t>
  </si>
  <si>
    <t>Yellow HTML Color Names</t>
  </si>
  <si>
    <t>Gold</t>
  </si>
  <si>
    <t>Moccasin</t>
  </si>
  <si>
    <t>Khaki</t>
  </si>
  <si>
    <t>Purple HTML Color Names</t>
  </si>
  <si>
    <t>Lavender</t>
  </si>
  <si>
    <t>Magenta</t>
  </si>
  <si>
    <t>RebeccaPurple</t>
  </si>
  <si>
    <t>DarkMagenta</t>
  </si>
  <si>
    <t>Indigo</t>
  </si>
  <si>
    <t>Green HTML Color Names</t>
  </si>
  <si>
    <t>Chartreuse</t>
  </si>
  <si>
    <t>LightGreen</t>
  </si>
  <si>
    <t>SeaGreen</t>
  </si>
  <si>
    <t>MediumAquamarine</t>
  </si>
  <si>
    <t>DarkCyan</t>
  </si>
  <si>
    <t>Blue HTML Color Names</t>
  </si>
  <si>
    <t>DarkBlue</t>
  </si>
  <si>
    <t>BurlyWood</t>
  </si>
  <si>
    <t>Peru</t>
  </si>
  <si>
    <t>Chocolate</t>
  </si>
  <si>
    <t>Brown</t>
  </si>
  <si>
    <t>White HTML Color Names</t>
  </si>
  <si>
    <t>Snow</t>
  </si>
  <si>
    <t>HoneyDew</t>
  </si>
  <si>
    <t>SeaShell</t>
  </si>
  <si>
    <t>Ivory</t>
  </si>
  <si>
    <t>Linen</t>
  </si>
  <si>
    <t>Gray HTML Color Names</t>
  </si>
  <si>
    <t>Gainsboro</t>
  </si>
  <si>
    <t>DarkGray</t>
  </si>
  <si>
    <t>DimGray</t>
  </si>
  <si>
    <t>LightSlateGray</t>
  </si>
  <si>
    <t>240, 128, 128</t>
  </si>
  <si>
    <t>250, 128, 114</t>
  </si>
  <si>
    <t>233, 150, 122</t>
  </si>
  <si>
    <t>255, 160, 122</t>
  </si>
  <si>
    <t>220, 20, 60</t>
  </si>
  <si>
    <t>255, 0, 0</t>
  </si>
  <si>
    <t>178, 34, 34</t>
  </si>
  <si>
    <t>139, 0, 0</t>
  </si>
  <si>
    <t/>
  </si>
  <si>
    <t>255, 192, 203</t>
  </si>
  <si>
    <t>255, 182, 193</t>
  </si>
  <si>
    <t>255, 105, 180</t>
  </si>
  <si>
    <t>255, 20, 147</t>
  </si>
  <si>
    <t>199, 21, 133</t>
  </si>
  <si>
    <t>219, 112, 147</t>
  </si>
  <si>
    <t>255, 127, 80</t>
  </si>
  <si>
    <t>255, 99, 71</t>
  </si>
  <si>
    <t>255, 69, 0</t>
  </si>
  <si>
    <t>255, 140, 0</t>
  </si>
  <si>
    <t>255, 165, 0</t>
  </si>
  <si>
    <t>255, 215, 0</t>
  </si>
  <si>
    <t>255, 255, 0</t>
  </si>
  <si>
    <t>255, 255, 224</t>
  </si>
  <si>
    <t>255, 250, 205</t>
  </si>
  <si>
    <t>250, 250, 210</t>
  </si>
  <si>
    <t>255, 239, 213</t>
  </si>
  <si>
    <t>255, 228, 181</t>
  </si>
  <si>
    <t>255, 218, 185</t>
  </si>
  <si>
    <t>238, 232, 170</t>
  </si>
  <si>
    <t>240, 230, 140</t>
  </si>
  <si>
    <t>189, 183, 107</t>
  </si>
  <si>
    <t>230, 230, 250</t>
  </si>
  <si>
    <t>216, 191, 216</t>
  </si>
  <si>
    <t>221, 160, 221</t>
  </si>
  <si>
    <t>238, 130, 238</t>
  </si>
  <si>
    <t>218, 112, 214</t>
  </si>
  <si>
    <t>255, 0, 255</t>
  </si>
  <si>
    <t>186, 85, 211</t>
  </si>
  <si>
    <t>147, 112, 219</t>
  </si>
  <si>
    <t>102, 51, 153</t>
  </si>
  <si>
    <t>138, 43, 226</t>
  </si>
  <si>
    <t>148, 0, 211</t>
  </si>
  <si>
    <t>153, 50, 204</t>
  </si>
  <si>
    <t>139, 0, 139</t>
  </si>
  <si>
    <t>128, 0, 128</t>
  </si>
  <si>
    <t>75, 0, 130</t>
  </si>
  <si>
    <t>106, 90, 205</t>
  </si>
  <si>
    <t>72, 61, 139</t>
  </si>
  <si>
    <t>123, 104, 238</t>
  </si>
  <si>
    <t>173, 255, 47</t>
  </si>
  <si>
    <t>127, 255, 0</t>
  </si>
  <si>
    <t>124, 252, 0</t>
  </si>
  <si>
    <t>0, 255, 0</t>
  </si>
  <si>
    <t>50, 205, 50</t>
  </si>
  <si>
    <t>152, 251, 152</t>
  </si>
  <si>
    <t>144, 238, 144</t>
  </si>
  <si>
    <t>0, 250, 154</t>
  </si>
  <si>
    <t>0, 255, 127</t>
  </si>
  <si>
    <t>60, 179, 113</t>
  </si>
  <si>
    <t>46, 139, 87</t>
  </si>
  <si>
    <t>34, 139, 34</t>
  </si>
  <si>
    <t>0, 128, 0</t>
  </si>
  <si>
    <t>0, 100, 0</t>
  </si>
  <si>
    <t>154, 205, 50</t>
  </si>
  <si>
    <t>107, 142, 35</t>
  </si>
  <si>
    <t>128, 128, 0</t>
  </si>
  <si>
    <t>85, 107, 47</t>
  </si>
  <si>
    <t>102, 205, 170</t>
  </si>
  <si>
    <t>143, 188, 139</t>
  </si>
  <si>
    <t>32, 178, 170</t>
  </si>
  <si>
    <t>0, 139, 139</t>
  </si>
  <si>
    <t>0, 128, 128</t>
  </si>
  <si>
    <t>0, 255, 255</t>
  </si>
  <si>
    <t>224, 255, 255</t>
  </si>
  <si>
    <t>175, 238, 238</t>
  </si>
  <si>
    <t>127, 255, 212</t>
  </si>
  <si>
    <t>64, 224, 208</t>
  </si>
  <si>
    <t>72, 209, 204</t>
  </si>
  <si>
    <t>0, 206, 209</t>
  </si>
  <si>
    <t>95, 158, 160</t>
  </si>
  <si>
    <t>70, 130, 180</t>
  </si>
  <si>
    <t>176, 196, 222</t>
  </si>
  <si>
    <t>176, 224, 230</t>
  </si>
  <si>
    <t>173, 216, 230</t>
  </si>
  <si>
    <t>135, 206, 235</t>
  </si>
  <si>
    <t>135, 206, 250</t>
  </si>
  <si>
    <t>0, 191, 255</t>
  </si>
  <si>
    <t>30, 144, 255</t>
  </si>
  <si>
    <t>100, 149, 237</t>
  </si>
  <si>
    <t>65, 105, 225</t>
  </si>
  <si>
    <t>0, 0, 255</t>
  </si>
  <si>
    <t>0, 0, 205</t>
  </si>
  <si>
    <t>0, 0, 139</t>
  </si>
  <si>
    <t>0, 0, 128</t>
  </si>
  <si>
    <t>25, 25, 112</t>
  </si>
  <si>
    <t>255, 248, 220</t>
  </si>
  <si>
    <t>255, 235, 205</t>
  </si>
  <si>
    <t>255, 228, 196</t>
  </si>
  <si>
    <t>255, 222, 173</t>
  </si>
  <si>
    <t>245, 222, 179</t>
  </si>
  <si>
    <t>222, 184, 135</t>
  </si>
  <si>
    <t>210, 180, 140</t>
  </si>
  <si>
    <t>188, 143, 143</t>
  </si>
  <si>
    <t>244, 164, 96</t>
  </si>
  <si>
    <t>218, 165, 32</t>
  </si>
  <si>
    <t>184, 134, 11</t>
  </si>
  <si>
    <t>205, 133, 63</t>
  </si>
  <si>
    <t>210, 105, 30</t>
  </si>
  <si>
    <t>139, 69, 19</t>
  </si>
  <si>
    <t>160, 82, 45</t>
  </si>
  <si>
    <t>165, 42, 42</t>
  </si>
  <si>
    <t>128, 0, 0</t>
  </si>
  <si>
    <t>255, 255, 255</t>
  </si>
  <si>
    <t>255, 250, 250</t>
  </si>
  <si>
    <t>240, 255, 240</t>
  </si>
  <si>
    <t>245, 255, 250</t>
  </si>
  <si>
    <t>240, 255, 255</t>
  </si>
  <si>
    <t>240, 248, 255</t>
  </si>
  <si>
    <t>248, 248, 255</t>
  </si>
  <si>
    <t>245, 245, 245</t>
  </si>
  <si>
    <t>255, 245, 238</t>
  </si>
  <si>
    <t>245, 245, 220</t>
  </si>
  <si>
    <t>253, 245, 230</t>
  </si>
  <si>
    <t>255, 250, 240</t>
  </si>
  <si>
    <t>255, 255, 240</t>
  </si>
  <si>
    <t>250, 235, 215</t>
  </si>
  <si>
    <t>250, 240, 230</t>
  </si>
  <si>
    <t>255, 240, 245</t>
  </si>
  <si>
    <t>255, 228, 225</t>
  </si>
  <si>
    <t>220, 220, 220</t>
  </si>
  <si>
    <t>211, 211, 211</t>
  </si>
  <si>
    <t>192, 192, 192</t>
  </si>
  <si>
    <t>169, 169, 169</t>
  </si>
  <si>
    <t>128, 128, 128</t>
  </si>
  <si>
    <t>105, 105, 105</t>
  </si>
  <si>
    <t>119, 136, 153</t>
  </si>
  <si>
    <t>112, 128, 144</t>
  </si>
  <si>
    <t>47, 79, 79</t>
  </si>
  <si>
    <t>0, 0, 0</t>
  </si>
  <si>
    <t>84,84,84</t>
  </si>
  <si>
    <t>0,0,0</t>
  </si>
  <si>
    <t>3,3,3</t>
  </si>
  <si>
    <t>5,5,5</t>
  </si>
  <si>
    <t>8,8,8</t>
  </si>
  <si>
    <t>10,10,10</t>
  </si>
  <si>
    <t>13,13,13</t>
  </si>
  <si>
    <t>15,15,15</t>
  </si>
  <si>
    <t>18,18,18</t>
  </si>
  <si>
    <t>20,20,20</t>
  </si>
  <si>
    <t>23,23,23</t>
  </si>
  <si>
    <t>26,26,26</t>
  </si>
  <si>
    <t>28,28,28</t>
  </si>
  <si>
    <t>31,31,31</t>
  </si>
  <si>
    <t>33,33,33</t>
  </si>
  <si>
    <t>34,34,34</t>
  </si>
  <si>
    <t>36,36,36</t>
  </si>
  <si>
    <t>38,38,38</t>
  </si>
  <si>
    <t>41,41,41</t>
  </si>
  <si>
    <t>43,43,43</t>
  </si>
  <si>
    <t>46,46,46</t>
  </si>
  <si>
    <t>48,48,48</t>
  </si>
  <si>
    <t>51,51,51</t>
  </si>
  <si>
    <t>54,54,54</t>
  </si>
  <si>
    <t>56,56,56</t>
  </si>
  <si>
    <t>59,59,59</t>
  </si>
  <si>
    <t>61,61,61</t>
  </si>
  <si>
    <t>64,64,64</t>
  </si>
  <si>
    <t>66,66,66</t>
  </si>
  <si>
    <t>69,69,69</t>
  </si>
  <si>
    <t>71,71,71</t>
  </si>
  <si>
    <t>74,74,74</t>
  </si>
  <si>
    <t>77,77,77</t>
  </si>
  <si>
    <t>79,79,79</t>
  </si>
  <si>
    <t>82,82,82</t>
  </si>
  <si>
    <t>85,85,85</t>
  </si>
  <si>
    <t>87,87,87</t>
  </si>
  <si>
    <t>89,89,89</t>
  </si>
  <si>
    <t>92,92,92</t>
  </si>
  <si>
    <t>94,94,94</t>
  </si>
  <si>
    <t>97,97,97</t>
  </si>
  <si>
    <t>99,99,99</t>
  </si>
  <si>
    <t>47,79,79</t>
  </si>
  <si>
    <t>99,86,136</t>
  </si>
  <si>
    <t>138,43,226</t>
  </si>
  <si>
    <t>66,66,111</t>
  </si>
  <si>
    <t>72,61,139</t>
  </si>
  <si>
    <t>0,206,209</t>
  </si>
  <si>
    <t>0,191,255</t>
  </si>
  <si>
    <t>0,178,238</t>
  </si>
  <si>
    <t>0,154,205</t>
  </si>
  <si>
    <t>0,104,139</t>
  </si>
  <si>
    <t>16,78,139</t>
  </si>
  <si>
    <t>0,0,205</t>
  </si>
  <si>
    <t>25,25,112</t>
  </si>
  <si>
    <t>0,0,128</t>
  </si>
  <si>
    <t>58,95,205</t>
  </si>
  <si>
    <t>39,64,139</t>
  </si>
  <si>
    <t>0,34,102</t>
  </si>
  <si>
    <t>106,90,205</t>
  </si>
  <si>
    <t>105,89,205</t>
  </si>
  <si>
    <t>71,60,139</t>
  </si>
  <si>
    <t>0,0,255</t>
  </si>
  <si>
    <t>0,0,238</t>
  </si>
  <si>
    <t>0,0,139</t>
  </si>
  <si>
    <t>0,255,255</t>
  </si>
  <si>
    <t>0,238,238</t>
  </si>
  <si>
    <t>0,205,205</t>
  </si>
  <si>
    <t>0,139,139</t>
  </si>
  <si>
    <t>0,128,128</t>
  </si>
  <si>
    <t>0,245,255</t>
  </si>
  <si>
    <t>0,229,238</t>
  </si>
  <si>
    <t>0,197,205</t>
  </si>
  <si>
    <t>0,134,139</t>
  </si>
  <si>
    <t>36,24,130</t>
  </si>
  <si>
    <t>127,0,255</t>
  </si>
  <si>
    <t>47,47,79</t>
  </si>
  <si>
    <t>35,35,142</t>
  </si>
  <si>
    <t>77,77,255</t>
  </si>
  <si>
    <t>0,0,156</t>
  </si>
  <si>
    <t>89,89,171</t>
  </si>
  <si>
    <t>0,127,255</t>
  </si>
  <si>
    <t>65,86,197</t>
  </si>
  <si>
    <t>139,69,19</t>
  </si>
  <si>
    <t>244,164,96</t>
  </si>
  <si>
    <t>165,42,42</t>
  </si>
  <si>
    <t>166,42,42</t>
  </si>
  <si>
    <t>255,64,64</t>
  </si>
  <si>
    <t>238,59,59</t>
  </si>
  <si>
    <t>205,51,51</t>
  </si>
  <si>
    <t>139,35,35</t>
  </si>
  <si>
    <t>92,64,51</t>
  </si>
  <si>
    <t>139,115,85</t>
  </si>
  <si>
    <t>92,51,23</t>
  </si>
  <si>
    <t>210,105,30</t>
  </si>
  <si>
    <t>255,127,36</t>
  </si>
  <si>
    <t>238,118,33</t>
  </si>
  <si>
    <t>205,102,29</t>
  </si>
  <si>
    <t>205,133,63</t>
  </si>
  <si>
    <t>255,165,79</t>
  </si>
  <si>
    <t>238,154,73</t>
  </si>
  <si>
    <t>139,90,43</t>
  </si>
  <si>
    <t>151,105,79</t>
  </si>
  <si>
    <t>133,94,66</t>
  </si>
  <si>
    <t>133,99,99</t>
  </si>
  <si>
    <t>107,66,38</t>
  </si>
  <si>
    <t>142,107,35</t>
  </si>
  <si>
    <t>47,79,47</t>
  </si>
  <si>
    <t>0,100,0</t>
  </si>
  <si>
    <t>85,107,47</t>
  </si>
  <si>
    <t>162,205,90</t>
  </si>
  <si>
    <t>110,139,61</t>
  </si>
  <si>
    <t>128,128,0</t>
  </si>
  <si>
    <t>34,139,34</t>
  </si>
  <si>
    <t>173,255,47</t>
  </si>
  <si>
    <t>124,252,0</t>
  </si>
  <si>
    <t>50,205,50</t>
  </si>
  <si>
    <t>0,250,154</t>
  </si>
  <si>
    <t>107,142,35</t>
  </si>
  <si>
    <t>192,255,62</t>
  </si>
  <si>
    <t>179,238,58</t>
  </si>
  <si>
    <t>154,205,50</t>
  </si>
  <si>
    <t>105,139,34</t>
  </si>
  <si>
    <t>84,139,84</t>
  </si>
  <si>
    <t>46,139,87</t>
  </si>
  <si>
    <t>0,255,127</t>
  </si>
  <si>
    <t>0,238,118</t>
  </si>
  <si>
    <t>0,205,102</t>
  </si>
  <si>
    <t>0,139,69</t>
  </si>
  <si>
    <t>127,255,0</t>
  </si>
  <si>
    <t>118,238,0</t>
  </si>
  <si>
    <t>102,205,0</t>
  </si>
  <si>
    <t>69,139,0</t>
  </si>
  <si>
    <t>0,255,0</t>
  </si>
  <si>
    <t>0,128,0</t>
  </si>
  <si>
    <t>0,238,0</t>
  </si>
  <si>
    <t>0,205,0</t>
  </si>
  <si>
    <t>0,139,0</t>
  </si>
  <si>
    <t>139,134,78</t>
  </si>
  <si>
    <t>79,79,47</t>
  </si>
  <si>
    <t>142,35,35</t>
  </si>
  <si>
    <t>35,142,35</t>
  </si>
  <si>
    <t>66,111,66</t>
  </si>
  <si>
    <t>9,249,17</t>
  </si>
  <si>
    <t>255,140,0</t>
  </si>
  <si>
    <t>255,127,0</t>
  </si>
  <si>
    <t>238,118,0</t>
  </si>
  <si>
    <t>205,102,0</t>
  </si>
  <si>
    <t>139,69,0</t>
  </si>
  <si>
    <t>205,129,98</t>
  </si>
  <si>
    <t>139,87,66</t>
  </si>
  <si>
    <t>255,127,80</t>
  </si>
  <si>
    <t>255,114,86</t>
  </si>
  <si>
    <t>238,106,80</t>
  </si>
  <si>
    <t>205,91,69</t>
  </si>
  <si>
    <t>139,62,47</t>
  </si>
  <si>
    <t>255,165,0</t>
  </si>
  <si>
    <t>238,154,0</t>
  </si>
  <si>
    <t>205,133,0</t>
  </si>
  <si>
    <t>139,90,0</t>
  </si>
  <si>
    <t>238,130,98</t>
  </si>
  <si>
    <t>205,112,84</t>
  </si>
  <si>
    <t>139,76,57</t>
  </si>
  <si>
    <t>160,82,45</t>
  </si>
  <si>
    <t>255,130,71</t>
  </si>
  <si>
    <t>238,121,66</t>
  </si>
  <si>
    <t>205,104,57</t>
  </si>
  <si>
    <t>139,71,38</t>
  </si>
  <si>
    <t>255,36,0</t>
  </si>
  <si>
    <t>255,20,147</t>
  </si>
  <si>
    <t>238,18,137</t>
  </si>
  <si>
    <t>205,16,118</t>
  </si>
  <si>
    <t>139,10,80</t>
  </si>
  <si>
    <t>205,96,144</t>
  </si>
  <si>
    <t>139,58,98</t>
  </si>
  <si>
    <t>205,92,92</t>
  </si>
  <si>
    <t>238,99,99</t>
  </si>
  <si>
    <t>205,85,85</t>
  </si>
  <si>
    <t>139,58,58</t>
  </si>
  <si>
    <t>139,95,101</t>
  </si>
  <si>
    <t>199,21,133</t>
  </si>
  <si>
    <t>255,69,0</t>
  </si>
  <si>
    <t>238,64,0</t>
  </si>
  <si>
    <t>205,55,0</t>
  </si>
  <si>
    <t>139,37,0</t>
  </si>
  <si>
    <t>139,71,93</t>
  </si>
  <si>
    <t>208,32,144</t>
  </si>
  <si>
    <t>255,62,150</t>
  </si>
  <si>
    <t>238,58,140</t>
  </si>
  <si>
    <t>205,50,120</t>
  </si>
  <si>
    <t>139,34,82</t>
  </si>
  <si>
    <t>178,34,34</t>
  </si>
  <si>
    <t>255,48,48</t>
  </si>
  <si>
    <t>238,44,44</t>
  </si>
  <si>
    <t>205,38,38</t>
  </si>
  <si>
    <t>139,26,26</t>
  </si>
  <si>
    <t>139,99,108</t>
  </si>
  <si>
    <t>204,51,51</t>
  </si>
  <si>
    <t>255,0,0</t>
  </si>
  <si>
    <t>238,0,0</t>
  </si>
  <si>
    <t>205,0,0</t>
  </si>
  <si>
    <t>139,0,0</t>
  </si>
  <si>
    <t>255,99,71</t>
  </si>
  <si>
    <t>238,92,66</t>
  </si>
  <si>
    <t>205,79,57</t>
  </si>
  <si>
    <t>139,54,38</t>
  </si>
  <si>
    <t>111,66,66</t>
  </si>
  <si>
    <t>140,23,23</t>
  </si>
  <si>
    <t>255,28,174</t>
  </si>
  <si>
    <t>227,91,216</t>
  </si>
  <si>
    <t>192,0,0</t>
  </si>
  <si>
    <t>153,50,204</t>
  </si>
  <si>
    <t>191,62,255</t>
  </si>
  <si>
    <t>178,58,238</t>
  </si>
  <si>
    <t>154,50,205</t>
  </si>
  <si>
    <t>104,34,139</t>
  </si>
  <si>
    <t>148,0,211</t>
  </si>
  <si>
    <t>186,85,211</t>
  </si>
  <si>
    <t>209,95,238</t>
  </si>
  <si>
    <t>180,82,205</t>
  </si>
  <si>
    <t>122,55,139</t>
  </si>
  <si>
    <t>153,50,205</t>
  </si>
  <si>
    <t>93,71,139</t>
  </si>
  <si>
    <t>255,0,255</t>
  </si>
  <si>
    <t>238,0,238</t>
  </si>
  <si>
    <t>205,0,205</t>
  </si>
  <si>
    <t>139,0,139</t>
  </si>
  <si>
    <t>176,48,96</t>
  </si>
  <si>
    <t>255,52,179</t>
  </si>
  <si>
    <t>238,48,167</t>
  </si>
  <si>
    <t>205,41,144</t>
  </si>
  <si>
    <t>139,28,98</t>
  </si>
  <si>
    <t>139,71,137</t>
  </si>
  <si>
    <t>160,32,240</t>
  </si>
  <si>
    <t>128,0,128</t>
  </si>
  <si>
    <t>155,48,255</t>
  </si>
  <si>
    <t>145,44,238</t>
  </si>
  <si>
    <t>125,38,205</t>
  </si>
  <si>
    <t>85,26,139</t>
  </si>
  <si>
    <t>159,95,159</t>
  </si>
  <si>
    <t>135,31,120</t>
  </si>
  <si>
    <t>128,0,0</t>
  </si>
  <si>
    <t>79,47,79</t>
  </si>
  <si>
    <t>204,50,153</t>
  </si>
  <si>
    <t>139,121,94</t>
  </si>
  <si>
    <t>184,134,11</t>
  </si>
  <si>
    <t>255,185,15</t>
  </si>
  <si>
    <t>238,173,14</t>
  </si>
  <si>
    <t>205,149,12</t>
  </si>
  <si>
    <t>139,101,8</t>
  </si>
  <si>
    <t>139,129,76</t>
  </si>
  <si>
    <t>218,165,32</t>
  </si>
  <si>
    <t>255,193,37</t>
  </si>
  <si>
    <t>238,180,34</t>
  </si>
  <si>
    <t>205,155,29</t>
  </si>
  <si>
    <t>139,105,20</t>
  </si>
  <si>
    <t>255,255,0</t>
  </si>
  <si>
    <t>238,238,0</t>
  </si>
  <si>
    <t>205,205,0</t>
  </si>
  <si>
    <t>139,139,0</t>
  </si>
  <si>
    <t>255,215,0</t>
  </si>
  <si>
    <t>238,201,0</t>
  </si>
  <si>
    <t>205,173,0</t>
  </si>
  <si>
    <t>139,117,0</t>
  </si>
  <si>
    <t>153,204,50</t>
  </si>
  <si>
    <t>184,115,51</t>
  </si>
  <si>
    <t>217,135,25</t>
  </si>
  <si>
    <t>181,166,66</t>
  </si>
  <si>
    <t>140,120,83</t>
  </si>
  <si>
    <t>166,125,61</t>
  </si>
  <si>
    <t>217,217,25</t>
  </si>
  <si>
    <t>207,181,59</t>
  </si>
  <si>
    <t>204,153,0</t>
  </si>
  <si>
    <t>205,127,50</t>
  </si>
  <si>
    <t>SemiSweet Chocolate</t>
  </si>
  <si>
    <t>BakerMiller pink</t>
  </si>
  <si>
    <t>Blastoff bronze</t>
  </si>
  <si>
    <t>Bluegray</t>
  </si>
  <si>
    <t>Blueviolet</t>
  </si>
  <si>
    <t>220,20,60</t>
  </si>
  <si>
    <t>75,0,130</t>
  </si>
  <si>
    <t>Azure X11/web color</t>
  </si>
  <si>
    <t>Blue Crayola</t>
  </si>
  <si>
    <t>Blue Munsell</t>
  </si>
  <si>
    <t>Blue NCS</t>
  </si>
  <si>
    <t>Blue Pantone</t>
  </si>
  <si>
    <t>Blue pigment</t>
  </si>
  <si>
    <t>Bright yellow Crayola</t>
  </si>
  <si>
    <t>Carmine M&amp;P</t>
  </si>
  <si>
    <t>Cerulean Crayola</t>
  </si>
  <si>
    <t>Chartreuse web</t>
  </si>
  <si>
    <t>Chocolate traditional</t>
  </si>
  <si>
    <t>Chocolate web</t>
  </si>
  <si>
    <t>Copper Crayola</t>
  </si>
  <si>
    <t>Crimson UA</t>
  </si>
  <si>
    <t>Cyan process</t>
  </si>
  <si>
    <t>Dark green X11</t>
  </si>
  <si>
    <t>Dark liver horses</t>
  </si>
  <si>
    <t>Forest green web</t>
  </si>
  <si>
    <t>Fuchsia Crayola</t>
  </si>
  <si>
    <t>0,71,186</t>
  </si>
  <si>
    <t>176,191,26</t>
  </si>
  <si>
    <t>125,186,232</t>
  </si>
  <si>
    <t>179,133,191</t>
  </si>
  <si>
    <t>115,161,194</t>
  </si>
  <si>
    <t>240,247,255</t>
  </si>
  <si>
    <t>219,46,66</t>
  </si>
  <si>
    <t>196,97,15</t>
  </si>
  <si>
    <t>240,222,204</t>
  </si>
  <si>
    <t>158,43,105</t>
  </si>
  <si>
    <t>242,156,186</t>
  </si>
  <si>
    <t>171,38,79</t>
  </si>
  <si>
    <t>59,122,87</t>
  </si>
  <si>
    <t>255,191,0</t>
  </si>
  <si>
    <t>153,102,204</t>
  </si>
  <si>
    <t>61,219,135</t>
  </si>
  <si>
    <t>204,148,117</t>
  </si>
  <si>
    <t>102,92,31</t>
  </si>
  <si>
    <t>145,92,130</t>
  </si>
  <si>
    <t>133,28,46</t>
  </si>
  <si>
    <t>250,235,214</t>
  </si>
  <si>
    <t>250,207,176</t>
  </si>
  <si>
    <t>128,255,212</t>
  </si>
  <si>
    <t>209,255,20</t>
  </si>
  <si>
    <t>74,112,69</t>
  </si>
  <si>
    <t>232,214,107</t>
  </si>
  <si>
    <t>179,191,181</t>
  </si>
  <si>
    <t>255,153,102</t>
  </si>
  <si>
    <t>252,237,0</t>
  </si>
  <si>
    <t>0,128,255</t>
  </si>
  <si>
    <t>240,255,255</t>
  </si>
  <si>
    <t>138,207,240</t>
  </si>
  <si>
    <t>161,201,242</t>
  </si>
  <si>
    <t>245,194,194</t>
  </si>
  <si>
    <t>255,255,250</t>
  </si>
  <si>
    <t>255,145,176</t>
  </si>
  <si>
    <t>250,232,181</t>
  </si>
  <si>
    <t>125,10,3</t>
  </si>
  <si>
    <t>133,133,130</t>
  </si>
  <si>
    <t>189,212,230</t>
  </si>
  <si>
    <t>158,130,112</t>
  </si>
  <si>
    <t>245,245,219</t>
  </si>
  <si>
    <t>46,89,148</t>
  </si>
  <si>
    <t>156,38,66</t>
  </si>
  <si>
    <t>255,227,196</t>
  </si>
  <si>
    <t>61,43,31</t>
  </si>
  <si>
    <t>150,112,23</t>
  </si>
  <si>
    <t>201,224,13</t>
  </si>
  <si>
    <t>61,13,3</t>
  </si>
  <si>
    <t>84,97,112</t>
  </si>
  <si>
    <t>59,61,54</t>
  </si>
  <si>
    <t>191,176,179</t>
  </si>
  <si>
    <t>255,235,204</t>
  </si>
  <si>
    <t>166,112,99</t>
  </si>
  <si>
    <t>48,140,232</t>
  </si>
  <si>
    <t>171,230,237</t>
  </si>
  <si>
    <t>102,0,0</t>
  </si>
  <si>
    <t>31,117,255</t>
  </si>
  <si>
    <t>0,148,176</t>
  </si>
  <si>
    <t>0,135,189</t>
  </si>
  <si>
    <t>0,23,168</t>
  </si>
  <si>
    <t>51,51,153</t>
  </si>
  <si>
    <t>163,163,209</t>
  </si>
  <si>
    <t>102,153,204</t>
  </si>
  <si>
    <t>92,173,237</t>
  </si>
  <si>
    <t>18,97,128</t>
  </si>
  <si>
    <t>138,43,227</t>
  </si>
  <si>
    <t>79,115,166</t>
  </si>
  <si>
    <t>61,105,232</t>
  </si>
  <si>
    <t>222,92,130</t>
  </si>
  <si>
    <t>120,69,59</t>
  </si>
  <si>
    <t>227,217,201</t>
  </si>
  <si>
    <t>204,64,84</t>
  </si>
  <si>
    <t>217,145,240</t>
  </si>
  <si>
    <t>194,33,71</t>
  </si>
  <si>
    <t>26,115,209</t>
  </si>
  <si>
    <t>255,171,28</t>
  </si>
  <si>
    <t>204,128,51</t>
  </si>
  <si>
    <t>176,110,77</t>
  </si>
  <si>
    <t>122,181,97</t>
  </si>
  <si>
    <t>255,199,128</t>
  </si>
  <si>
    <t>128,0,33</t>
  </si>
  <si>
    <t>222,184,135</t>
  </si>
  <si>
    <t>161,122,115</t>
  </si>
  <si>
    <t>204,84,0</t>
  </si>
  <si>
    <t>232,115,82</t>
  </si>
  <si>
    <t>138,51,36</t>
  </si>
  <si>
    <t>189,51,163</t>
  </si>
  <si>
    <t>112,41,99</t>
  </si>
  <si>
    <t>94,158,161</t>
  </si>
  <si>
    <t>145,163,176</t>
  </si>
  <si>
    <t>0,107,61</t>
  </si>
  <si>
    <t>237,135,46</t>
  </si>
  <si>
    <t>166,122,92</t>
  </si>
  <si>
    <t>74,54,33</t>
  </si>
  <si>
    <t>163,194,173</t>
  </si>
  <si>
    <t>194,153,107</t>
  </si>
  <si>
    <t>240,186,204</t>
  </si>
  <si>
    <t>255,255,153</t>
  </si>
  <si>
    <t>255,240,0</t>
  </si>
  <si>
    <t>227,112,122</t>
  </si>
  <si>
    <t>196,31,59</t>
  </si>
  <si>
    <t>0,204,153</t>
  </si>
  <si>
    <t>150,0,23</t>
  </si>
  <si>
    <t>214,0,64</t>
  </si>
  <si>
    <t>255,166,201</t>
  </si>
  <si>
    <t>179,28,28</t>
  </si>
  <si>
    <t>87,161,212</t>
  </si>
  <si>
    <t>237,145,33</t>
  </si>
  <si>
    <t>112,54,66</t>
  </si>
  <si>
    <t>201,89,74</t>
  </si>
  <si>
    <t>171,224,176</t>
  </si>
  <si>
    <t>179,255,255</t>
  </si>
  <si>
    <t>222,48,99</t>
  </si>
  <si>
    <t>0,122,166</t>
  </si>
  <si>
    <t>41,82,191</t>
  </si>
  <si>
    <t>110,156,194</t>
  </si>
  <si>
    <t>28,171,214</t>
  </si>
  <si>
    <t>247,232,207</t>
  </si>
  <si>
    <t>242,222,207</t>
  </si>
  <si>
    <t>54,69,79</t>
  </si>
  <si>
    <t>230,143,171</t>
  </si>
  <si>
    <t>128,255,0</t>
  </si>
  <si>
    <t>255,184,196</t>
  </si>
  <si>
    <t>148,69,54</t>
  </si>
  <si>
    <t>227,61,41</t>
  </si>
  <si>
    <t>222,112,161</t>
  </si>
  <si>
    <t>171,56,31</t>
  </si>
  <si>
    <t>133,97,135</t>
  </si>
  <si>
    <t>255,179,0</t>
  </si>
  <si>
    <t>122,64,0</t>
  </si>
  <si>
    <t>209,105,31</t>
  </si>
  <si>
    <t>153,130,122</t>
  </si>
  <si>
    <t>227,66,51</t>
  </si>
  <si>
    <t>204,97,125</t>
  </si>
  <si>
    <t>227,209,10</t>
  </si>
  <si>
    <t>158,168,31</t>
  </si>
  <si>
    <t>128,23,51</t>
  </si>
  <si>
    <t>112,79,56</t>
  </si>
  <si>
    <t>186,217,235</t>
  </si>
  <si>
    <t>247,130,120</t>
  </si>
  <si>
    <t>140,145,171</t>
  </si>
  <si>
    <t>217,138,102</t>
  </si>
  <si>
    <t>173,112,105</t>
  </si>
  <si>
    <t>204,110,82</t>
  </si>
  <si>
    <t>153,102,102</t>
  </si>
  <si>
    <t>255,56,0</t>
  </si>
  <si>
    <t>255,128,79</t>
  </si>
  <si>
    <t>138,64,69</t>
  </si>
  <si>
    <t>250,237,92</t>
  </si>
  <si>
    <t>99,148,237</t>
  </si>
  <si>
    <t>255,247,219</t>
  </si>
  <si>
    <t>46,46,135</t>
  </si>
  <si>
    <t>255,247,232</t>
  </si>
  <si>
    <t>130,97,61</t>
  </si>
  <si>
    <t>255,189,217</t>
  </si>
  <si>
    <t>255,252,209</t>
  </si>
  <si>
    <t>219,20,61</t>
  </si>
  <si>
    <t>158,28,51</t>
  </si>
  <si>
    <t>245,245,245</t>
  </si>
  <si>
    <t>0,184,235</t>
  </si>
  <si>
    <t>89,66,125</t>
  </si>
  <si>
    <t>255,212,0</t>
  </si>
  <si>
    <t>245,112,161</t>
  </si>
  <si>
    <t>102,66,33</t>
  </si>
  <si>
    <t>92,56,84</t>
  </si>
  <si>
    <t>0,140,140</t>
  </si>
  <si>
    <t>84,105,120</t>
  </si>
  <si>
    <t>184,135,10</t>
  </si>
  <si>
    <t>0,99,0</t>
  </si>
  <si>
    <t>26,36,33</t>
  </si>
  <si>
    <t>189,184,107</t>
  </si>
  <si>
    <t>71,61,51</t>
  </si>
  <si>
    <t>84,61,56</t>
  </si>
  <si>
    <t>140,0,140</t>
  </si>
  <si>
    <t>84,107,46</t>
  </si>
  <si>
    <t>153,51,204</t>
  </si>
  <si>
    <t>48,26,51</t>
  </si>
  <si>
    <t>140,0,0</t>
  </si>
  <si>
    <t>232,150,122</t>
  </si>
  <si>
    <t>143,189,143</t>
  </si>
  <si>
    <t>61,20,20</t>
  </si>
  <si>
    <t>140,191,214</t>
  </si>
  <si>
    <t>71,61,140</t>
  </si>
  <si>
    <t>46,79,79</t>
  </si>
  <si>
    <t>23,115,69</t>
  </si>
  <si>
    <t>0,207,209</t>
  </si>
  <si>
    <t>148,0,212</t>
  </si>
  <si>
    <t>217,51,135</t>
  </si>
  <si>
    <t>250,214,166</t>
  </si>
  <si>
    <t>186,79,71</t>
  </si>
  <si>
    <t>0,74,74</t>
  </si>
  <si>
    <t>255,20,148</t>
  </si>
  <si>
    <t>255,153,51</t>
  </si>
  <si>
    <t>74,99,107</t>
  </si>
  <si>
    <t>125,94,97</t>
  </si>
  <si>
    <t>20,97,189</t>
  </si>
  <si>
    <t>33,66,181</t>
  </si>
  <si>
    <t>237,201,176</t>
  </si>
  <si>
    <t>105,105,105</t>
  </si>
  <si>
    <t>31,143,255</t>
  </si>
  <si>
    <t>240,222,186</t>
  </si>
  <si>
    <t>84,92,79</t>
  </si>
  <si>
    <t>194,179,128</t>
  </si>
  <si>
    <t>97,64,82</t>
  </si>
  <si>
    <t>240,235,214</t>
  </si>
  <si>
    <t>204,255,0</t>
  </si>
  <si>
    <t>191,0,255</t>
  </si>
  <si>
    <t>143,0,255</t>
  </si>
  <si>
    <t>79,199,120</t>
  </si>
  <si>
    <t>107,48,130</t>
  </si>
  <si>
    <t>181,130,148</t>
  </si>
  <si>
    <t>171,74,82</t>
  </si>
  <si>
    <t>204,71,74</t>
  </si>
  <si>
    <t>87,61,92</t>
  </si>
  <si>
    <t>0,255,64</t>
  </si>
  <si>
    <t>150,199,163</t>
  </si>
  <si>
    <t>128,23,23</t>
  </si>
  <si>
    <t>181,51,138</t>
  </si>
  <si>
    <t>222,82,133</t>
  </si>
  <si>
    <t>230,171,112</t>
  </si>
  <si>
    <t>79,120,66</t>
  </si>
  <si>
    <t>107,84,31</t>
  </si>
  <si>
    <t>255,84,112</t>
  </si>
  <si>
    <t>105,48,105</t>
  </si>
  <si>
    <t>179,33,33</t>
  </si>
  <si>
    <t>207,33,41</t>
  </si>
  <si>
    <t>227,89,33</t>
  </si>
  <si>
    <t>237,219,130</t>
  </si>
  <si>
    <t>163,0,110</t>
  </si>
  <si>
    <t>255,250,240</t>
  </si>
  <si>
    <t>33,140,33</t>
  </si>
  <si>
    <t>133,110,77</t>
  </si>
  <si>
    <t>0,115,186</t>
  </si>
  <si>
    <t>252,64,145</t>
  </si>
  <si>
    <t>135,97,143</t>
  </si>
  <si>
    <t>158,252,56</t>
  </si>
  <si>
    <t>212,115,212</t>
  </si>
  <si>
    <t>252,107,158</t>
  </si>
  <si>
    <t>199,43,71</t>
  </si>
  <si>
    <t>120,181,255</t>
  </si>
  <si>
    <t>135,5,207</t>
  </si>
  <si>
    <t>232,54,166</t>
  </si>
  <si>
    <t>194,84,194</t>
  </si>
  <si>
    <t>227,133,0</t>
  </si>
  <si>
    <t>135,66,31</t>
  </si>
  <si>
    <t>255,255,255</t>
  </si>
  <si>
    <t>35,107,142</t>
  </si>
  <si>
    <t>230,232,250</t>
  </si>
  <si>
    <t>192,192,192</t>
  </si>
  <si>
    <t>219,219,112</t>
  </si>
  <si>
    <t>234,234,174</t>
  </si>
  <si>
    <t>255,228,181</t>
  </si>
  <si>
    <t>255,250,205</t>
  </si>
  <si>
    <t>238,233,191</t>
  </si>
  <si>
    <t>205,201,165</t>
  </si>
  <si>
    <t>139,137,112</t>
  </si>
  <si>
    <t>238,221,130</t>
  </si>
  <si>
    <t>255,236,139</t>
  </si>
  <si>
    <t>238,220,130</t>
  </si>
  <si>
    <t>205,190,112</t>
  </si>
  <si>
    <t>250,250,210</t>
  </si>
  <si>
    <t>255,255,224</t>
  </si>
  <si>
    <t>238,238,209</t>
  </si>
  <si>
    <t>205,205,180</t>
  </si>
  <si>
    <t>139,139,122</t>
  </si>
  <si>
    <t>238,232,170</t>
  </si>
  <si>
    <t>255,239,213</t>
  </si>
  <si>
    <t>255,248,220</t>
  </si>
  <si>
    <t>238,232,205</t>
  </si>
  <si>
    <t>205,200,177</t>
  </si>
  <si>
    <t>139,136,120</t>
  </si>
  <si>
    <t>255,235,205</t>
  </si>
  <si>
    <t>128,128,128</t>
  </si>
  <si>
    <t>240,128,128</t>
  </si>
  <si>
    <t>233,150,122</t>
  </si>
  <si>
    <t>250,128,114</t>
  </si>
  <si>
    <t>255,160,122</t>
  </si>
  <si>
    <t>189,183,107</t>
  </si>
  <si>
    <t>240,230,140</t>
  </si>
  <si>
    <t>144,238,144</t>
  </si>
  <si>
    <t>152,251,152</t>
  </si>
  <si>
    <t>143,188,143</t>
  </si>
  <si>
    <t>102,205,170</t>
  </si>
  <si>
    <t>60,179,113</t>
  </si>
  <si>
    <t>32,178,170</t>
  </si>
  <si>
    <t>224,255,255</t>
  </si>
  <si>
    <t>64,224,208</t>
  </si>
  <si>
    <t>72,209,204</t>
  </si>
  <si>
    <t>175,238,238</t>
  </si>
  <si>
    <t>127,255,212</t>
  </si>
  <si>
    <t>176,224,230</t>
  </si>
  <si>
    <t>95,158,160</t>
  </si>
  <si>
    <t>70,130,180</t>
  </si>
  <si>
    <t>100,149,237</t>
  </si>
  <si>
    <t>30,144,255</t>
  </si>
  <si>
    <t>173,216,230</t>
  </si>
  <si>
    <t>135,206,235</t>
  </si>
  <si>
    <t>135,206,250</t>
  </si>
  <si>
    <t>65,105,225</t>
  </si>
  <si>
    <t>123,104,238</t>
  </si>
  <si>
    <t>147,112,219</t>
  </si>
  <si>
    <t>216,191,216</t>
  </si>
  <si>
    <t>221,160,221</t>
  </si>
  <si>
    <t>238,130,238</t>
  </si>
  <si>
    <t>218,112,214</t>
  </si>
  <si>
    <t>219,112,147</t>
  </si>
  <si>
    <t>255,105,180</t>
  </si>
  <si>
    <t>255,182,193</t>
  </si>
  <si>
    <t>255,192,203</t>
  </si>
  <si>
    <t>250,235,215</t>
  </si>
  <si>
    <t>245,245,220</t>
  </si>
  <si>
    <t>255,228,196</t>
  </si>
  <si>
    <t>245,222,179</t>
  </si>
  <si>
    <t>210,180,140</t>
  </si>
  <si>
    <t>188,143,143</t>
  </si>
  <si>
    <t>255,222,173</t>
  </si>
  <si>
    <t>255,218,185</t>
  </si>
  <si>
    <t>255,228,225</t>
  </si>
  <si>
    <t>255,240,245</t>
  </si>
  <si>
    <t>250,240,230</t>
  </si>
  <si>
    <t>253,245,230</t>
  </si>
  <si>
    <t>255,245,238</t>
  </si>
  <si>
    <t>245,255,250</t>
  </si>
  <si>
    <t>112,128,144</t>
  </si>
  <si>
    <t>119,136,153</t>
  </si>
  <si>
    <t>176,196,222</t>
  </si>
  <si>
    <t>230,230,250</t>
  </si>
  <si>
    <t>240,248,255</t>
  </si>
  <si>
    <t>248,248,255</t>
  </si>
  <si>
    <t>240,255,240</t>
  </si>
  <si>
    <t>255,255,240</t>
  </si>
  <si>
    <t>255,250,250</t>
  </si>
  <si>
    <t>169,169,169</t>
  </si>
  <si>
    <t>211,211,211</t>
  </si>
  <si>
    <t>220,220,220</t>
  </si>
  <si>
    <t>190,190,190</t>
  </si>
  <si>
    <t>198,226,255</t>
  </si>
  <si>
    <t>185,211,238</t>
  </si>
  <si>
    <t>159,182,205</t>
  </si>
  <si>
    <t>108,123,139</t>
  </si>
  <si>
    <t>102,102,102</t>
  </si>
  <si>
    <t>107,107,107</t>
  </si>
  <si>
    <t>110,110,110</t>
  </si>
  <si>
    <t>112,112,112</t>
  </si>
  <si>
    <t>115,115,115</t>
  </si>
  <si>
    <t>117,117,117</t>
  </si>
  <si>
    <t>119,119,119</t>
  </si>
  <si>
    <t>120,120,120</t>
  </si>
  <si>
    <t>122,122,122</t>
  </si>
  <si>
    <t>125,125,125</t>
  </si>
  <si>
    <t>127,127,127</t>
  </si>
  <si>
    <t>130,130,130</t>
  </si>
  <si>
    <t>133,133,133</t>
  </si>
  <si>
    <t>135,135,135</t>
  </si>
  <si>
    <t>136,136,136</t>
  </si>
  <si>
    <t>138,138,138</t>
  </si>
  <si>
    <t>140,140,140</t>
  </si>
  <si>
    <t>143,143,143</t>
  </si>
  <si>
    <t>145,145,145</t>
  </si>
  <si>
    <t>148,148,148</t>
  </si>
  <si>
    <t>150,150,150</t>
  </si>
  <si>
    <t>153,153,153</t>
  </si>
  <si>
    <t>156,156,156</t>
  </si>
  <si>
    <t>158,158,158</t>
  </si>
  <si>
    <t>161,161,161</t>
  </si>
  <si>
    <t>163,163,163</t>
  </si>
  <si>
    <t>166,166,166</t>
  </si>
  <si>
    <t>168,168,168</t>
  </si>
  <si>
    <t>171,171,171</t>
  </si>
  <si>
    <t>173,173,173</t>
  </si>
  <si>
    <t>176,176,176</t>
  </si>
  <si>
    <t>179,179,179</t>
  </si>
  <si>
    <t>181,181,181</t>
  </si>
  <si>
    <t>184,184,184</t>
  </si>
  <si>
    <t>187,187,187</t>
  </si>
  <si>
    <t>186,186,186</t>
  </si>
  <si>
    <t>189,189,189</t>
  </si>
  <si>
    <t>191,191,191</t>
  </si>
  <si>
    <t>194,194,194</t>
  </si>
  <si>
    <t>196,196,196</t>
  </si>
  <si>
    <t>199,199,199</t>
  </si>
  <si>
    <t>201,201,201</t>
  </si>
  <si>
    <t>204,204,204</t>
  </si>
  <si>
    <t>207,207,207</t>
  </si>
  <si>
    <t>209,209,209</t>
  </si>
  <si>
    <t>212,212,212</t>
  </si>
  <si>
    <t>214,214,214</t>
  </si>
  <si>
    <t>217,217,217</t>
  </si>
  <si>
    <t>219,219,219</t>
  </si>
  <si>
    <t>222,222,222</t>
  </si>
  <si>
    <t>221,221,221</t>
  </si>
  <si>
    <t>224,224,224</t>
  </si>
  <si>
    <t>227,227,227</t>
  </si>
  <si>
    <t>229,229,229</t>
  </si>
  <si>
    <t>232,232,232</t>
  </si>
  <si>
    <t>235,235,235</t>
  </si>
  <si>
    <t>237,237,237</t>
  </si>
  <si>
    <t>238,238,238</t>
  </si>
  <si>
    <t>240,240,240</t>
  </si>
  <si>
    <t>242,242,242</t>
  </si>
  <si>
    <t>247,247,247</t>
  </si>
  <si>
    <t>250,250,250</t>
  </si>
  <si>
    <t>252,252,252</t>
  </si>
  <si>
    <t>205,205,205</t>
  </si>
  <si>
    <t>95,159,159</t>
  </si>
  <si>
    <t>152,245,255</t>
  </si>
  <si>
    <t>142,229,238</t>
  </si>
  <si>
    <t>122,197,205</t>
  </si>
  <si>
    <t>83,134,139</t>
  </si>
  <si>
    <t>28,134,238</t>
  </si>
  <si>
    <t>24,116,205</t>
  </si>
  <si>
    <t>170,187,204</t>
  </si>
  <si>
    <t>191,239,255</t>
  </si>
  <si>
    <t>178,223,238</t>
  </si>
  <si>
    <t>154,192,205</t>
  </si>
  <si>
    <t>104,131,139</t>
  </si>
  <si>
    <t>209,238,238</t>
  </si>
  <si>
    <t>180,205,205</t>
  </si>
  <si>
    <t>122,139,139</t>
  </si>
  <si>
    <t>176,226,255</t>
  </si>
  <si>
    <t>164,211,238</t>
  </si>
  <si>
    <t>141,182,205</t>
  </si>
  <si>
    <t>96,123,139</t>
  </si>
  <si>
    <t>132,112,255</t>
  </si>
  <si>
    <t>153,204,255</t>
  </si>
  <si>
    <t>202,225,255</t>
  </si>
  <si>
    <t>188,210,238</t>
  </si>
  <si>
    <t>162,181,205</t>
  </si>
  <si>
    <t>110,123,139</t>
  </si>
  <si>
    <t>112,219,147</t>
  </si>
  <si>
    <t>187,255,255</t>
  </si>
  <si>
    <t>174,238,238</t>
  </si>
  <si>
    <t>150,205,205</t>
  </si>
  <si>
    <t>102,139,139</t>
  </si>
  <si>
    <t>72,118,255</t>
  </si>
  <si>
    <t>67,110,238</t>
  </si>
  <si>
    <t>135,206,255</t>
  </si>
  <si>
    <t>126,192,238</t>
  </si>
  <si>
    <t>108,166,205</t>
  </si>
  <si>
    <t>74,112,139</t>
  </si>
  <si>
    <t>131,111,255</t>
  </si>
  <si>
    <t>122,103,238</t>
  </si>
  <si>
    <t>99,184,255</t>
  </si>
  <si>
    <t>92,172,238</t>
  </si>
  <si>
    <t>79,148,205</t>
  </si>
  <si>
    <t>54,100,139</t>
  </si>
  <si>
    <t>51,102,153</t>
  </si>
  <si>
    <t>51,153,204</t>
  </si>
  <si>
    <t>118,238,198</t>
  </si>
  <si>
    <t>69,139,116</t>
  </si>
  <si>
    <t>224,238,238</t>
  </si>
  <si>
    <t>193,205,205</t>
  </si>
  <si>
    <t>131,139,139</t>
  </si>
  <si>
    <t>31,80,204</t>
  </si>
  <si>
    <t>151,255,255</t>
  </si>
  <si>
    <t>141,238,238</t>
  </si>
  <si>
    <t>121,205,205</t>
  </si>
  <si>
    <t>82,139,139</t>
  </si>
  <si>
    <t>112,147,219</t>
  </si>
  <si>
    <t>112,219,219</t>
  </si>
  <si>
    <t>50,153,204</t>
  </si>
  <si>
    <t>56,176,222</t>
  </si>
  <si>
    <t>31,80,200</t>
  </si>
  <si>
    <t>255,193,193</t>
  </si>
  <si>
    <t>238,180,180</t>
  </si>
  <si>
    <t>205,155,155</t>
  </si>
  <si>
    <t>139,105,105</t>
  </si>
  <si>
    <t>255,211,155</t>
  </si>
  <si>
    <t>238,197,145</t>
  </si>
  <si>
    <t>205,170,125</t>
  </si>
  <si>
    <t>166,128,100</t>
  </si>
  <si>
    <t>235,199,158</t>
  </si>
  <si>
    <t>219,147,112</t>
  </si>
  <si>
    <t>74,118,110</t>
  </si>
  <si>
    <t>202,255,112</t>
  </si>
  <si>
    <t>188,238,104</t>
  </si>
  <si>
    <t>193,255,193</t>
  </si>
  <si>
    <t>180,238,180</t>
  </si>
  <si>
    <t>155,205,155</t>
  </si>
  <si>
    <t>105,139,105</t>
  </si>
  <si>
    <t>154,255,154</t>
  </si>
  <si>
    <t>124,205,124</t>
  </si>
  <si>
    <t>84,255,159</t>
  </si>
  <si>
    <t>78,238,148</t>
  </si>
  <si>
    <t>67,205,128</t>
  </si>
  <si>
    <t>255,246,143</t>
  </si>
  <si>
    <t>238,230,133</t>
  </si>
  <si>
    <t>205,198,115</t>
  </si>
  <si>
    <t>209,146,117</t>
  </si>
  <si>
    <t>35,142,104</t>
  </si>
  <si>
    <t>2,157,116</t>
  </si>
  <si>
    <t>238,149,114</t>
  </si>
  <si>
    <t>238,203,173</t>
  </si>
  <si>
    <t>205,175,149</t>
  </si>
  <si>
    <t>139,119,101</t>
  </si>
  <si>
    <t>238,213,183</t>
  </si>
  <si>
    <t>205,183,158</t>
  </si>
  <si>
    <t>139,125,107</t>
  </si>
  <si>
    <t>224,238,224</t>
  </si>
  <si>
    <t>193,205,193</t>
  </si>
  <si>
    <t>131,139,131</t>
  </si>
  <si>
    <t>255,140,105</t>
  </si>
  <si>
    <t>255,110,180</t>
  </si>
  <si>
    <t>238,106,167</t>
  </si>
  <si>
    <t>255,106,106</t>
  </si>
  <si>
    <t>255,174,185</t>
  </si>
  <si>
    <t>238,162,173</t>
  </si>
  <si>
    <t>205,140,149</t>
  </si>
  <si>
    <t>238,213,210</t>
  </si>
  <si>
    <t>205,183,181</t>
  </si>
  <si>
    <t>139,125,123</t>
  </si>
  <si>
    <t>255,130,171</t>
  </si>
  <si>
    <t>238,121,159</t>
  </si>
  <si>
    <t>205,104,137</t>
  </si>
  <si>
    <t>255,181,197</t>
  </si>
  <si>
    <t>238,169,184</t>
  </si>
  <si>
    <t>205,145,158</t>
  </si>
  <si>
    <t>245,204,176</t>
  </si>
  <si>
    <t>238,224,229</t>
  </si>
  <si>
    <t>205,193,197</t>
  </si>
  <si>
    <t>139,131,134</t>
  </si>
  <si>
    <t>224,102,255</t>
  </si>
  <si>
    <t>171,130,255</t>
  </si>
  <si>
    <t>159,121,238</t>
  </si>
  <si>
    <t>137,104,205</t>
  </si>
  <si>
    <t>219,112,219</t>
  </si>
  <si>
    <t>255,131,250</t>
  </si>
  <si>
    <t>238,122,233</t>
  </si>
  <si>
    <t>205,105,201</t>
  </si>
  <si>
    <t>255,187,255</t>
  </si>
  <si>
    <t>238,174,238</t>
  </si>
  <si>
    <t>205,150,205</t>
  </si>
  <si>
    <t>139,102,139</t>
  </si>
  <si>
    <t>255,225,255</t>
  </si>
  <si>
    <t>238,210,238</t>
  </si>
  <si>
    <t>205,181,205</t>
  </si>
  <si>
    <t>139,123,139</t>
  </si>
  <si>
    <t>255,110,199</t>
  </si>
  <si>
    <t>234,173,234</t>
  </si>
  <si>
    <t>173,234,234</t>
  </si>
  <si>
    <t>255,239,219</t>
  </si>
  <si>
    <t>238,223,204</t>
  </si>
  <si>
    <t>205,192,176</t>
  </si>
  <si>
    <t>139,131,120</t>
  </si>
  <si>
    <t>238,207,161</t>
  </si>
  <si>
    <t>205,179,139</t>
  </si>
  <si>
    <t>238,238,224</t>
  </si>
  <si>
    <t>205,205,193</t>
  </si>
  <si>
    <t>139,139,131</t>
  </si>
  <si>
    <t>238,229,222</t>
  </si>
  <si>
    <t>205,197,191</t>
  </si>
  <si>
    <t>139,134,130</t>
  </si>
  <si>
    <t>238,233,233</t>
  </si>
  <si>
    <t>205,201,201</t>
  </si>
  <si>
    <t>139,137,137</t>
  </si>
  <si>
    <t>255,231,186</t>
  </si>
  <si>
    <t>238,216,174</t>
  </si>
  <si>
    <t>205,186,150</t>
  </si>
  <si>
    <t>139,126,102</t>
  </si>
  <si>
    <t>217,217,243</t>
  </si>
  <si>
    <t>216,216,191</t>
  </si>
  <si>
    <t>Name Of Colour</t>
  </si>
  <si>
    <t>RGB HEX Code</t>
  </si>
  <si>
    <t>RGB</t>
  </si>
  <si>
    <t>Colour</t>
  </si>
  <si>
    <t>Shade Type</t>
  </si>
  <si>
    <t>metal</t>
  </si>
  <si>
    <t>0072BB</t>
  </si>
  <si>
    <t>007BA7</t>
  </si>
  <si>
    <t>0087BD</t>
  </si>
  <si>
    <t>0093AF</t>
  </si>
  <si>
    <t>00B7EB</t>
  </si>
  <si>
    <t>0018A8</t>
  </si>
  <si>
    <t>0048BA</t>
  </si>
  <si>
    <t>6D9BC3</t>
  </si>
  <si>
    <t>72A0C1</t>
  </si>
  <si>
    <t>77B5FE</t>
  </si>
  <si>
    <t>7CB9E8</t>
  </si>
  <si>
    <t>89CFF0</t>
  </si>
  <si>
    <t>8CBED6</t>
  </si>
  <si>
    <t>96C8A2</t>
  </si>
  <si>
    <t>A1CAF1</t>
  </si>
  <si>
    <t>A2A2D0</t>
  </si>
  <si>
    <t>A3C1AD</t>
  </si>
  <si>
    <t>ACE5EE</t>
  </si>
  <si>
    <t>B2FFFF</t>
  </si>
  <si>
    <t>B9D9EB</t>
  </si>
  <si>
    <t>BCD4E6</t>
  </si>
  <si>
    <t>1560BD</t>
  </si>
  <si>
    <t>1974D2</t>
  </si>
  <si>
    <t>1DACD6</t>
  </si>
  <si>
    <t>1F75FE</t>
  </si>
  <si>
    <t>2243B6</t>
  </si>
  <si>
    <t>2A52BE</t>
  </si>
  <si>
    <t>2E2D88</t>
  </si>
  <si>
    <t>2E5894</t>
  </si>
  <si>
    <t>318CE7</t>
  </si>
  <si>
    <t>3C69E7</t>
  </si>
  <si>
    <t>4B0082</t>
  </si>
  <si>
    <t>5072A7</t>
  </si>
  <si>
    <t>56A0D3</t>
  </si>
  <si>
    <t>5DADEC</t>
  </si>
  <si>
    <t>6F4E37</t>
  </si>
  <si>
    <t>79443B</t>
  </si>
  <si>
    <t>7B3F00</t>
  </si>
  <si>
    <t>7E5E60</t>
  </si>
  <si>
    <t>81613C</t>
  </si>
  <si>
    <t>856D4D</t>
  </si>
  <si>
    <t>87421F</t>
  </si>
  <si>
    <t>8A3324</t>
  </si>
  <si>
    <t>98817B</t>
  </si>
  <si>
    <t>9F8170</t>
  </si>
  <si>
    <t>A17A74</t>
  </si>
  <si>
    <t>A57164</t>
  </si>
  <si>
    <t>A67B5B</t>
  </si>
  <si>
    <t>AD6F69</t>
  </si>
  <si>
    <t>AF6E4D</t>
  </si>
  <si>
    <t>B94E48</t>
  </si>
  <si>
    <t>C19A6B</t>
  </si>
  <si>
    <t>C2B280</t>
  </si>
  <si>
    <t>C95A49</t>
  </si>
  <si>
    <t>CB6D51</t>
  </si>
  <si>
    <t>CC5500</t>
  </si>
  <si>
    <t>DA8A67</t>
  </si>
  <si>
    <t>E48400</t>
  </si>
  <si>
    <t>E5AA70</t>
  </si>
  <si>
    <t>E97451</t>
  </si>
  <si>
    <t>EDC9AF</t>
  </si>
  <si>
    <t>EFDECD</t>
  </si>
  <si>
    <t>FAD6A5</t>
  </si>
  <si>
    <t>FF9966</t>
  </si>
  <si>
    <t>FFC680</t>
  </si>
  <si>
    <t>3D0C02</t>
  </si>
  <si>
    <t>3C1414</t>
  </si>
  <si>
    <t>3D2B1F</t>
  </si>
  <si>
    <t>483C32</t>
  </si>
  <si>
    <t>4B3621</t>
  </si>
  <si>
    <t>543D37</t>
  </si>
  <si>
    <t>006B3C</t>
  </si>
  <si>
    <t>00CC99</t>
  </si>
  <si>
    <t>00FF40</t>
  </si>
  <si>
    <t>004B49</t>
  </si>
  <si>
    <t>6C541E</t>
  </si>
  <si>
    <t>7BB661</t>
  </si>
  <si>
    <t>80FF00</t>
  </si>
  <si>
    <t>8FBC8B</t>
  </si>
  <si>
    <t>9FA91F</t>
  </si>
  <si>
    <t>9EFD38</t>
  </si>
  <si>
    <t>ACE1AF</t>
  </si>
  <si>
    <t>B0BF1A</t>
  </si>
  <si>
    <t>CCFF00</t>
  </si>
  <si>
    <t>D0FF14</t>
  </si>
  <si>
    <t>1A2421</t>
  </si>
  <si>
    <t>3B7A57</t>
  </si>
  <si>
    <t>3DDC84</t>
  </si>
  <si>
    <t>4B6F44</t>
  </si>
  <si>
    <t>4F7942</t>
  </si>
  <si>
    <t>50C878</t>
  </si>
  <si>
    <t>8C92AC</t>
  </si>
  <si>
    <t>91A3B0</t>
  </si>
  <si>
    <t>A9A9A9</t>
  </si>
  <si>
    <t>B2BEB5</t>
  </si>
  <si>
    <t>BFAFB2</t>
  </si>
  <si>
    <t>1B1B1B</t>
  </si>
  <si>
    <t>36454F</t>
  </si>
  <si>
    <t>3B3C36</t>
  </si>
  <si>
    <t>4A646C</t>
  </si>
  <si>
    <t>555D50</t>
  </si>
  <si>
    <t>54626F</t>
  </si>
  <si>
    <t>665D1E</t>
  </si>
  <si>
    <t>CD9575</t>
  </si>
  <si>
    <t>C46210</t>
  </si>
  <si>
    <t>ED872D</t>
  </si>
  <si>
    <t>ED9121</t>
  </si>
  <si>
    <t>FF3800</t>
  </si>
  <si>
    <t>7C0A02</t>
  </si>
  <si>
    <t>893F45</t>
  </si>
  <si>
    <t>9E1B32</t>
  </si>
  <si>
    <t>AA381E</t>
  </si>
  <si>
    <t>AB4B52</t>
  </si>
  <si>
    <t>B31B1B</t>
  </si>
  <si>
    <t>C32148</t>
  </si>
  <si>
    <t>C41E3A</t>
  </si>
  <si>
    <t>C72C48</t>
  </si>
  <si>
    <t>CB4154</t>
  </si>
  <si>
    <t>CC474B</t>
  </si>
  <si>
    <t>CE2029</t>
  </si>
  <si>
    <t>D70040</t>
  </si>
  <si>
    <t>DA3287</t>
  </si>
  <si>
    <t>DC143C</t>
  </si>
  <si>
    <t>DB2D43</t>
  </si>
  <si>
    <t>DE6FA1</t>
  </si>
  <si>
    <t>E4717A</t>
  </si>
  <si>
    <t>E23D28</t>
  </si>
  <si>
    <t>E34234</t>
  </si>
  <si>
    <t>E25822</t>
  </si>
  <si>
    <t>E68FAC</t>
  </si>
  <si>
    <t>EFBBCC</t>
  </si>
  <si>
    <t>F56FA1</t>
  </si>
  <si>
    <t>F88379</t>
  </si>
  <si>
    <t>FD6C9E</t>
  </si>
  <si>
    <t>FD3F92</t>
  </si>
  <si>
    <t>FFA6C9</t>
  </si>
  <si>
    <t>FFB7C5</t>
  </si>
  <si>
    <t>FFBCD9</t>
  </si>
  <si>
    <t>FF5470</t>
  </si>
  <si>
    <t>6C3082</t>
  </si>
  <si>
    <t>7F1734</t>
  </si>
  <si>
    <t>841B2D</t>
  </si>
  <si>
    <t>8806CE</t>
  </si>
  <si>
    <t>86608E</t>
  </si>
  <si>
    <t>8F00FF</t>
  </si>
  <si>
    <t>915C83</t>
  </si>
  <si>
    <t>9C2542</t>
  </si>
  <si>
    <t>9F2B68</t>
  </si>
  <si>
    <t>A2006D</t>
  </si>
  <si>
    <t>AB274F</t>
  </si>
  <si>
    <t>B284BE</t>
  </si>
  <si>
    <t>B48395</t>
  </si>
  <si>
    <t>B53389</t>
  </si>
  <si>
    <t>BD33A4</t>
  </si>
  <si>
    <t>BF00FF</t>
  </si>
  <si>
    <t>C154C1</t>
  </si>
  <si>
    <t>CD607E</t>
  </si>
  <si>
    <t>D473D4</t>
  </si>
  <si>
    <t>D891EF</t>
  </si>
  <si>
    <t>DE3163</t>
  </si>
  <si>
    <t>DE5285</t>
  </si>
  <si>
    <t>DE5D83</t>
  </si>
  <si>
    <t>E936A7</t>
  </si>
  <si>
    <t>F19CBB</t>
  </si>
  <si>
    <t>F4C2C2</t>
  </si>
  <si>
    <t>FF91AF</t>
  </si>
  <si>
    <t>563C5C</t>
  </si>
  <si>
    <t>58427C</t>
  </si>
  <si>
    <t>5D3954</t>
  </si>
  <si>
    <t>E3DAC9</t>
  </si>
  <si>
    <t>EFDFBB</t>
  </si>
  <si>
    <t>F0EAD6</t>
  </si>
  <si>
    <t>F1DDCF</t>
  </si>
  <si>
    <t>F7E7CE</t>
  </si>
  <si>
    <t>FBCEB1</t>
  </si>
  <si>
    <t>FFF8E7</t>
  </si>
  <si>
    <t>FFFDD0</t>
  </si>
  <si>
    <t>FEFEFA</t>
  </si>
  <si>
    <t>CAE00D</t>
  </si>
  <si>
    <t>E4D00A</t>
  </si>
  <si>
    <t>E9D66B</t>
  </si>
  <si>
    <t>FAE7B5</t>
  </si>
  <si>
    <t>FBEC5D</t>
  </si>
  <si>
    <t>FDEE00</t>
  </si>
  <si>
    <t>FF9933</t>
  </si>
  <si>
    <t>FFAA1D</t>
  </si>
  <si>
    <t>FFB200</t>
  </si>
  <si>
    <t>FFBF00</t>
  </si>
  <si>
    <t>FFD300</t>
  </si>
  <si>
    <t>FFEF00</t>
  </si>
  <si>
    <t>FFFF99</t>
  </si>
  <si>
    <t>Grey HTML Color Names</t>
  </si>
  <si>
    <t>Anodic Bronze</t>
  </si>
  <si>
    <t>Blaze Blue</t>
  </si>
  <si>
    <t>Bright Silver Metallic</t>
  </si>
  <si>
    <t xml:space="preserve">Copper </t>
  </si>
  <si>
    <t>Dark Violet</t>
  </si>
  <si>
    <t>Flame Red</t>
  </si>
  <si>
    <t>French Blue</t>
  </si>
  <si>
    <t>Lemon Yellow</t>
  </si>
  <si>
    <t>Mistletoe</t>
  </si>
  <si>
    <t>Orange X15</t>
  </si>
  <si>
    <t>Pommel Blue</t>
  </si>
  <si>
    <t>Safety Yellow</t>
  </si>
  <si>
    <t>Signal Red</t>
  </si>
  <si>
    <t>Space Blue</t>
  </si>
  <si>
    <t>Transformer Grey</t>
  </si>
  <si>
    <t xml:space="preserve">White </t>
  </si>
  <si>
    <t>Yellow Gold</t>
  </si>
  <si>
    <t xml:space="preserve">Streetwise™ Silver </t>
  </si>
  <si>
    <t>Velocity™ Green</t>
  </si>
  <si>
    <r>
      <t>Anotec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Dark Grey</t>
    </r>
  </si>
  <si>
    <r>
      <t>Anotec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Mid Bronze</t>
    </r>
  </si>
  <si>
    <r>
      <t>Anotec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Silver Grey</t>
    </r>
  </si>
  <si>
    <t xml:space="preserve">APO Grey </t>
  </si>
  <si>
    <t>Barley</t>
  </si>
  <si>
    <t>Barrister White</t>
  </si>
  <si>
    <t>Berry Grey</t>
  </si>
  <si>
    <t>Black Night Sky</t>
  </si>
  <si>
    <t>Blue Ridge</t>
  </si>
  <si>
    <t>Bright White</t>
  </si>
  <si>
    <t>Canola Cream</t>
  </si>
  <si>
    <t>Classic Cream</t>
  </si>
  <si>
    <t>Classic Hawthorn Green</t>
  </si>
  <si>
    <t>Classic White</t>
  </si>
  <si>
    <t>Cottage Green</t>
  </si>
  <si>
    <t>Deep Brunswick Green</t>
  </si>
  <si>
    <t>Deep Ocean</t>
  </si>
  <si>
    <t xml:space="preserve">Dune </t>
  </si>
  <si>
    <t xml:space="preserve">Evening Haze </t>
  </si>
  <si>
    <t>Ironstone</t>
  </si>
  <si>
    <t>Jasper</t>
  </si>
  <si>
    <t>Light Grey</t>
  </si>
  <si>
    <t>Magnolia</t>
  </si>
  <si>
    <t>Manor Red</t>
  </si>
  <si>
    <t>Monument</t>
  </si>
  <si>
    <t xml:space="preserve">Notre Dame </t>
  </si>
  <si>
    <t xml:space="preserve">Off White </t>
  </si>
  <si>
    <t>Olde Pewter</t>
  </si>
  <si>
    <t>Oyster</t>
  </si>
  <si>
    <t xml:space="preserve">Paperbark </t>
  </si>
  <si>
    <t>Pearl White</t>
  </si>
  <si>
    <t>Primrose</t>
  </si>
  <si>
    <t>Rivergum Beige</t>
  </si>
  <si>
    <t>Riversand</t>
  </si>
  <si>
    <t>Shale Grey</t>
  </si>
  <si>
    <t>Shoji White</t>
  </si>
  <si>
    <t>Stone Grey</t>
  </si>
  <si>
    <t>Surfmist</t>
  </si>
  <si>
    <t xml:space="preserve">Surfmist </t>
  </si>
  <si>
    <t>Weathered Copper</t>
  </si>
  <si>
    <t>Wedgewood</t>
  </si>
  <si>
    <t>White Birch</t>
  </si>
  <si>
    <t>Wilderness</t>
  </si>
  <si>
    <t>Windspray</t>
  </si>
  <si>
    <t>Woodland Grey</t>
  </si>
  <si>
    <r>
      <t>Anotec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Off White</t>
    </r>
  </si>
  <si>
    <t>APO Grey</t>
  </si>
  <si>
    <t>Basalt</t>
  </si>
  <si>
    <t xml:space="preserve">Black </t>
  </si>
  <si>
    <t>Cove</t>
  </si>
  <si>
    <t xml:space="preserve">Deep Brunswick Green </t>
  </si>
  <si>
    <t>Doeskin</t>
  </si>
  <si>
    <t>Dune</t>
  </si>
  <si>
    <t>Evening Haze</t>
  </si>
  <si>
    <t>Grey Nurse</t>
  </si>
  <si>
    <t>Gully</t>
  </si>
  <si>
    <t>Hammersley Brown</t>
  </si>
  <si>
    <t>Mangrove</t>
  </si>
  <si>
    <t xml:space="preserve">Mangrove </t>
  </si>
  <si>
    <t>Notre Dame</t>
  </si>
  <si>
    <t>Off White</t>
  </si>
  <si>
    <t>Pale Eucalypt</t>
  </si>
  <si>
    <t>Paperbark</t>
  </si>
  <si>
    <t>Stone Beige</t>
  </si>
  <si>
    <t>Terrain</t>
  </si>
  <si>
    <t>Wallaby</t>
  </si>
  <si>
    <t xml:space="preserve">White Birch </t>
  </si>
  <si>
    <t>Appliance White</t>
  </si>
  <si>
    <t>Arctic White</t>
  </si>
  <si>
    <t>Chalk USA</t>
  </si>
  <si>
    <r>
      <t>Copper Metallic Kinetic</t>
    </r>
    <r>
      <rPr>
        <vertAlign val="superscript"/>
        <sz val="10"/>
        <color rgb="FF000000"/>
        <rFont val="Arial"/>
        <family val="2"/>
      </rPr>
      <t>®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</si>
  <si>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Bronze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</si>
  <si>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Chain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</si>
  <si>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Charcoal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</si>
  <si>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Citi Silver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</si>
  <si>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Linen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</si>
  <si>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Nickel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</si>
  <si>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Pewter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</si>
  <si>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Silver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</si>
  <si>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Star Pearl</t>
    </r>
  </si>
  <si>
    <r>
      <t>Eternity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Titanium Pearl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</si>
  <si>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Coast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</si>
  <si>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Desert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</si>
  <si>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Evergreen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</si>
  <si>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Flame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</si>
  <si>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Leaf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</si>
  <si>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Moonlight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</si>
  <si>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Reef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</si>
  <si>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Storm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</si>
  <si>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Summer</t>
    </r>
  </si>
  <si>
    <r>
      <t>Intensity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Sunshine</t>
    </r>
  </si>
  <si>
    <t>Matt Canvas Cloth</t>
  </si>
  <si>
    <r>
      <t>Matt Champagne Kinetic</t>
    </r>
    <r>
      <rPr>
        <vertAlign val="superscript"/>
        <sz val="10"/>
        <color rgb="FF000000"/>
        <rFont val="Arial"/>
        <family val="2"/>
      </rPr>
      <t>®</t>
    </r>
  </si>
  <si>
    <t>Talc</t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</si>
  <si>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Black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</si>
  <si>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Charcoal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</si>
  <si>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Dark Grey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</si>
  <si>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Grey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</si>
  <si>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Lunar Eclipse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</si>
  <si>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Lunar Grey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</si>
  <si>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Silver Grey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</si>
  <si>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Timberland</t>
    </r>
  </si>
  <si>
    <r>
      <t>Zeus</t>
    </r>
    <r>
      <rPr>
        <vertAlign val="superscript"/>
        <sz val="10"/>
        <color rgb="FF000000"/>
        <rFont val="Arial"/>
        <family val="2"/>
      </rPr>
      <t>®</t>
    </r>
    <r>
      <rPr>
        <sz val="10"/>
        <color rgb="FF000000"/>
        <rFont val="Arial"/>
        <family val="2"/>
      </rPr>
      <t xml:space="preserve"> White</t>
    </r>
  </si>
  <si>
    <t xml:space="preserve">Black Ace </t>
  </si>
  <si>
    <t xml:space="preserve">Blue Suede Shoes  </t>
  </si>
  <si>
    <t xml:space="preserve">Burnished Copper </t>
  </si>
  <si>
    <t xml:space="preserve">Dark Bronze </t>
  </si>
  <si>
    <t xml:space="preserve">Flat White </t>
  </si>
  <si>
    <t>Golden Touch</t>
  </si>
  <si>
    <t xml:space="preserve">Green Tea </t>
  </si>
  <si>
    <t>Medium Bronze</t>
  </si>
  <si>
    <t xml:space="preserve">Natural Silver  </t>
  </si>
  <si>
    <t xml:space="preserve">Scintillation </t>
  </si>
  <si>
    <t xml:space="preserve">Shimmering Champagne </t>
  </si>
  <si>
    <t xml:space="preserve">Subtle Blue </t>
  </si>
  <si>
    <t xml:space="preserve">Vintage Silver </t>
  </si>
  <si>
    <t>Xtreme™ Black</t>
  </si>
  <si>
    <t>Xtreme™ Champagne</t>
  </si>
  <si>
    <t>Xtreme™ Charcoal</t>
  </si>
  <si>
    <t>Xtreme™ Coin</t>
  </si>
  <si>
    <t>Xtreme™ Silver</t>
  </si>
  <si>
    <t>Xtreme™ White</t>
  </si>
  <si>
    <t>Blue Light Pearl</t>
  </si>
  <si>
    <r>
      <t>Champagne Kinetic</t>
    </r>
    <r>
      <rPr>
        <vertAlign val="superscript"/>
        <sz val="10"/>
        <color rgb="FF000000"/>
        <rFont val="Arial"/>
        <family val="2"/>
      </rPr>
      <t>®</t>
    </r>
  </si>
  <si>
    <t>Charcoal Metallic</t>
  </si>
  <si>
    <t>Citi</t>
  </si>
  <si>
    <r>
      <t>Copper Kinetic</t>
    </r>
    <r>
      <rPr>
        <vertAlign val="superscript"/>
        <sz val="10"/>
        <color rgb="FF000000"/>
        <rFont val="Arial"/>
        <family val="2"/>
      </rPr>
      <t>®</t>
    </r>
  </si>
  <si>
    <t>Gold Pearl</t>
  </si>
  <si>
    <r>
      <t>Gunmetal Kinetic</t>
    </r>
    <r>
      <rPr>
        <vertAlign val="superscript"/>
        <sz val="10"/>
        <color rgb="FF000000"/>
        <rFont val="Arial"/>
        <family val="2"/>
      </rPr>
      <t>®</t>
    </r>
  </si>
  <si>
    <t>Metropolis Bronze</t>
  </si>
  <si>
    <t>Metropolis Silver Glow</t>
  </si>
  <si>
    <t>Metropolis Storm</t>
  </si>
  <si>
    <t>Mother Of Pearl</t>
  </si>
  <si>
    <t>Natural</t>
  </si>
  <si>
    <t xml:space="preserve">Nickel </t>
  </si>
  <si>
    <t>Onyx</t>
  </si>
  <si>
    <t>Pandemonium Silver</t>
  </si>
  <si>
    <t>Pewter</t>
  </si>
  <si>
    <r>
      <t>Platypus Kinetic</t>
    </r>
    <r>
      <rPr>
        <vertAlign val="superscript"/>
        <sz val="10"/>
        <color rgb="FF000000"/>
        <rFont val="Arial"/>
        <family val="2"/>
      </rPr>
      <t>®</t>
    </r>
  </si>
  <si>
    <t xml:space="preserve">Red Emperor </t>
  </si>
  <si>
    <r>
      <t>Sharp Silver Kinetic</t>
    </r>
    <r>
      <rPr>
        <vertAlign val="superscript"/>
        <sz val="10"/>
        <color rgb="FF000000"/>
        <rFont val="Arial"/>
        <family val="2"/>
      </rPr>
      <t>®</t>
    </r>
  </si>
  <si>
    <r>
      <t>Silver Kinetic</t>
    </r>
    <r>
      <rPr>
        <vertAlign val="superscript"/>
        <sz val="10"/>
        <color rgb="FF000000"/>
        <rFont val="Arial"/>
        <family val="2"/>
      </rPr>
      <t>®</t>
    </r>
  </si>
  <si>
    <r>
      <t>St Elmos Fire Kinetic</t>
    </r>
    <r>
      <rPr>
        <vertAlign val="superscript"/>
        <sz val="10"/>
        <color rgb="FF000000"/>
        <rFont val="Arial"/>
        <family val="2"/>
      </rPr>
      <t>®</t>
    </r>
  </si>
  <si>
    <t>Steel</t>
  </si>
  <si>
    <t>Bubbly Pearl</t>
  </si>
  <si>
    <t>Deep Bronze Pearl</t>
  </si>
  <si>
    <t>Essential Silver Pearl</t>
  </si>
  <si>
    <t>Glow Pearl</t>
  </si>
  <si>
    <t>Jet Pearl</t>
  </si>
  <si>
    <t>Propeller Pearl</t>
  </si>
  <si>
    <t>Starry Night Pearl</t>
  </si>
  <si>
    <t>Supreme Silver Pearl</t>
  </si>
  <si>
    <t>Sword Pearl</t>
  </si>
  <si>
    <t>Trophy Pearl</t>
  </si>
  <si>
    <t>Typhoon Pearl</t>
  </si>
  <si>
    <t>Urban Pearl</t>
  </si>
  <si>
    <r>
      <t>APO Grey Scylla</t>
    </r>
    <r>
      <rPr>
        <vertAlign val="superscript"/>
        <sz val="10"/>
        <rFont val="Arial"/>
        <family val="2"/>
      </rPr>
      <t>®</t>
    </r>
  </si>
  <si>
    <t>Aztec Black</t>
  </si>
  <si>
    <t>Aztec Silver</t>
  </si>
  <si>
    <t>Black Sarouk</t>
  </si>
  <si>
    <r>
      <t>Black Scylla</t>
    </r>
    <r>
      <rPr>
        <vertAlign val="superscript"/>
        <sz val="10"/>
        <rFont val="Arial"/>
        <family val="2"/>
      </rPr>
      <t>®</t>
    </r>
  </si>
  <si>
    <t>Blue Hammer</t>
  </si>
  <si>
    <t>Graphite Sarouk</t>
  </si>
  <si>
    <t>Grey Hammer</t>
  </si>
  <si>
    <r>
      <t>Horizon White Scylla</t>
    </r>
    <r>
      <rPr>
        <vertAlign val="superscript"/>
        <sz val="10"/>
        <rFont val="Arial"/>
        <family val="2"/>
      </rPr>
      <t>®</t>
    </r>
  </si>
  <si>
    <r>
      <t>Light Grey Scylla</t>
    </r>
    <r>
      <rPr>
        <vertAlign val="superscript"/>
        <sz val="10"/>
        <rFont val="Arial"/>
        <family val="2"/>
      </rPr>
      <t>®</t>
    </r>
  </si>
  <si>
    <t>Mannex Black</t>
  </si>
  <si>
    <t>Mannex Silver Lode Pearl</t>
  </si>
  <si>
    <t>Mannex Suede</t>
  </si>
  <si>
    <t>Mannex White</t>
  </si>
  <si>
    <r>
      <t>Notre Dame Scylla</t>
    </r>
    <r>
      <rPr>
        <vertAlign val="superscript"/>
        <sz val="10"/>
        <rFont val="Arial"/>
        <family val="2"/>
      </rPr>
      <t>®</t>
    </r>
  </si>
  <si>
    <r>
      <t>Red Brown Scylla</t>
    </r>
    <r>
      <rPr>
        <vertAlign val="superscript"/>
        <sz val="10"/>
        <rFont val="Arial"/>
        <family val="2"/>
      </rPr>
      <t>®</t>
    </r>
  </si>
  <si>
    <t>Silver Sarouk</t>
  </si>
  <si>
    <r>
      <t>Stone Beige Scylla</t>
    </r>
    <r>
      <rPr>
        <vertAlign val="superscript"/>
        <sz val="10"/>
        <rFont val="Arial"/>
        <family val="2"/>
      </rPr>
      <t>®</t>
    </r>
  </si>
  <si>
    <r>
      <t>Storm Grey Scylla</t>
    </r>
    <r>
      <rPr>
        <vertAlign val="superscript"/>
        <sz val="10"/>
        <rFont val="Arial"/>
        <family val="2"/>
      </rPr>
      <t>®</t>
    </r>
  </si>
  <si>
    <t>Dulux Powder Coating</t>
  </si>
  <si>
    <t>83,74,60</t>
  </si>
  <si>
    <t>0,108,177</t>
  </si>
  <si>
    <t>161,163,164</t>
  </si>
  <si>
    <t>147,101,72</t>
  </si>
  <si>
    <t>81,58,112</t>
  </si>
  <si>
    <t>152,41,44</t>
  </si>
  <si>
    <t>46,83,161</t>
  </si>
  <si>
    <t>241,214,80</t>
  </si>
  <si>
    <t>16,109,58</t>
  </si>
  <si>
    <t>45,59,80</t>
  </si>
  <si>
    <t>226,107,45</t>
  </si>
  <si>
    <t>31,78,129</t>
  </si>
  <si>
    <t>241,160,36</t>
  </si>
  <si>
    <t>172,54,44</t>
  </si>
  <si>
    <t>44,57,114</t>
  </si>
  <si>
    <t>125,138,133</t>
  </si>
  <si>
    <t>244,244,238</t>
  </si>
  <si>
    <t>245,167,27</t>
  </si>
  <si>
    <t>0,106,178</t>
  </si>
  <si>
    <t>13,105,56</t>
  </si>
  <si>
    <t>226,103,42</t>
  </si>
  <si>
    <t>241,161,33</t>
  </si>
  <si>
    <t>174,55,44</t>
  </si>
  <si>
    <t>246,167,19</t>
  </si>
  <si>
    <t>43,43,44</t>
  </si>
  <si>
    <t>160,165,167</t>
  </si>
  <si>
    <t>47,66,57</t>
  </si>
  <si>
    <t>246,248,245</t>
  </si>
  <si>
    <t>61,68,73</t>
  </si>
  <si>
    <t>66,57,51</t>
  </si>
  <si>
    <t>175,176,176</t>
  </si>
  <si>
    <t>171,171,169</t>
  </si>
  <si>
    <t>215,200,179</t>
  </si>
  <si>
    <t>235,225,206</t>
  </si>
  <si>
    <t>79,82,86</t>
  </si>
  <si>
    <t>45,45,46</t>
  </si>
  <si>
    <t>44,45,46</t>
  </si>
  <si>
    <t>45,46,47</t>
  </si>
  <si>
    <t>75,93,105</t>
  </si>
  <si>
    <t>225,233,243</t>
  </si>
  <si>
    <t>243,231,200</t>
  </si>
  <si>
    <t>56,59,62</t>
  </si>
  <si>
    <t>55,59,62</t>
  </si>
  <si>
    <t>226,208,173</t>
  </si>
  <si>
    <t>45,67,56</t>
  </si>
  <si>
    <t>243,245,241</t>
  </si>
  <si>
    <t>59,81,70</t>
  </si>
  <si>
    <t>46,62,55</t>
  </si>
  <si>
    <t>61,73,85</t>
  </si>
  <si>
    <t>172,164,153</t>
  </si>
  <si>
    <t>189,183,163</t>
  </si>
  <si>
    <t>74,78,84</t>
  </si>
  <si>
    <t>104,93,82</t>
  </si>
  <si>
    <t>197,190,173</t>
  </si>
  <si>
    <t>219,206,178</t>
  </si>
  <si>
    <t>105,57,50</t>
  </si>
  <si>
    <t>68,68,67</t>
  </si>
  <si>
    <t>66,67,67</t>
  </si>
  <si>
    <t>95,99,101</t>
  </si>
  <si>
    <t>215,215,203</t>
  </si>
  <si>
    <t>110,114,116</t>
  </si>
  <si>
    <t>191,192,187</t>
  </si>
  <si>
    <t>199,180,154</t>
  </si>
  <si>
    <t>236,242,241</t>
  </si>
  <si>
    <t>235,217,179</t>
  </si>
  <si>
    <t>217,206,190</t>
  </si>
  <si>
    <t>159,142,125</t>
  </si>
  <si>
    <t>177,179,175</t>
  </si>
  <si>
    <t>226,221,212</t>
  </si>
  <si>
    <t>144,142,138</t>
  </si>
  <si>
    <t>214,212,201</t>
  </si>
  <si>
    <t>213,213,204</t>
  </si>
  <si>
    <t>81,73,63</t>
  </si>
  <si>
    <t>90,121,144</t>
  </si>
  <si>
    <t>242,244,239</t>
  </si>
  <si>
    <t>245,236,216</t>
  </si>
  <si>
    <t>98,112,98</t>
  </si>
  <si>
    <t>127,132,129</t>
  </si>
  <si>
    <t>85,84,79</t>
  </si>
  <si>
    <t>82,82,78</t>
  </si>
  <si>
    <t>58,65,69</t>
  </si>
  <si>
    <t>225,218,199</t>
  </si>
  <si>
    <t>172,173,172</t>
  </si>
  <si>
    <t>91,93,93</t>
  </si>
  <si>
    <t>91,92,93</t>
  </si>
  <si>
    <t>79,82,87</t>
  </si>
  <si>
    <t>42,43,43</t>
  </si>
  <si>
    <t>44,44,45</t>
  </si>
  <si>
    <t>45,46,46</t>
  </si>
  <si>
    <t>225,233,240</t>
  </si>
  <si>
    <t>227,210,176</t>
  </si>
  <si>
    <t>225,209,176</t>
  </si>
  <si>
    <t>242,245,241</t>
  </si>
  <si>
    <t>54,80,69</t>
  </si>
  <si>
    <t>58,82,70</t>
  </si>
  <si>
    <t>144,136,111</t>
  </si>
  <si>
    <t>145,136,111</t>
  </si>
  <si>
    <t>47,61,54</t>
  </si>
  <si>
    <t>61,73,84</t>
  </si>
  <si>
    <t>195,170,128</t>
  </si>
  <si>
    <t>170,163,152</t>
  </si>
  <si>
    <t>171,163,152</t>
  </si>
  <si>
    <t>188,183,163</t>
  </si>
  <si>
    <t>190,185,165</t>
  </si>
  <si>
    <t>117,111,100</t>
  </si>
  <si>
    <t>118,112,101</t>
  </si>
  <si>
    <t>72,60,57</t>
  </si>
  <si>
    <t>74,78,85</t>
  </si>
  <si>
    <t>73,76,82</t>
  </si>
  <si>
    <t>103,92,81</t>
  </si>
  <si>
    <t>102,93,82</t>
  </si>
  <si>
    <t>100,101,84</t>
  </si>
  <si>
    <t>103,103,86</t>
  </si>
  <si>
    <t>105,56,50</t>
  </si>
  <si>
    <t>106,56,49</t>
  </si>
  <si>
    <t>68,68,68</t>
  </si>
  <si>
    <t>94,98,101</t>
  </si>
  <si>
    <t>217,217,205</t>
  </si>
  <si>
    <t>106,109,112</t>
  </si>
  <si>
    <t>190,192,185</t>
  </si>
  <si>
    <t>120,129,106</t>
  </si>
  <si>
    <t>119,126,106</t>
  </si>
  <si>
    <t>194,177,152</t>
  </si>
  <si>
    <t>197,180,154</t>
  </si>
  <si>
    <t>239,243,242</t>
  </si>
  <si>
    <t>237,219,181</t>
  </si>
  <si>
    <t>179,181,175</t>
  </si>
  <si>
    <t>236,225,205</t>
  </si>
  <si>
    <t>225,221,212</t>
  </si>
  <si>
    <t>194,170,141</t>
  </si>
  <si>
    <t>145,143,139</t>
  </si>
  <si>
    <t>213,213,205</t>
  </si>
  <si>
    <t>207,206,197</t>
  </si>
  <si>
    <t>100,65,51</t>
  </si>
  <si>
    <t>101,65,50</t>
  </si>
  <si>
    <t>109,107,103</t>
  </si>
  <si>
    <t>108,105,101</t>
  </si>
  <si>
    <t>249,236,214</t>
  </si>
  <si>
    <t>126,132,129</t>
  </si>
  <si>
    <t>127,132,130</t>
  </si>
  <si>
    <t>82,82,77</t>
  </si>
  <si>
    <t>82,81,76</t>
  </si>
  <si>
    <t>240,244,239</t>
  </si>
  <si>
    <t>224,231,235</t>
  </si>
  <si>
    <t>239,234,217</t>
  </si>
  <si>
    <t>146,134,124</t>
  </si>
  <si>
    <t>82,74,62</t>
  </si>
  <si>
    <t>168,171,168</t>
  </si>
  <si>
    <t>55,54,55</t>
  </si>
  <si>
    <t>172,176,179</t>
  </si>
  <si>
    <t>222,219,207</t>
  </si>
  <si>
    <t>165,158,146</t>
  </si>
  <si>
    <t>124,129,129</t>
  </si>
  <si>
    <t>151,154,156</t>
  </si>
  <si>
    <t>156,159,159</t>
  </si>
  <si>
    <t>89,91,88</t>
  </si>
  <si>
    <t>13,94,134</t>
  </si>
  <si>
    <t>139,57,46</t>
  </si>
  <si>
    <t>38,96,62</t>
  </si>
  <si>
    <t>180,44,41</t>
  </si>
  <si>
    <t>75,137,65</t>
  </si>
  <si>
    <t>238,207,65</t>
  </si>
  <si>
    <t>39,105,184</t>
  </si>
  <si>
    <t>42,51,79</t>
  </si>
  <si>
    <t>230,90,35</t>
  </si>
  <si>
    <t>231,171,54</t>
  </si>
  <si>
    <t>203,200,189</t>
  </si>
  <si>
    <t>157,151,142</t>
  </si>
  <si>
    <t>229,226,216</t>
  </si>
  <si>
    <t>60,63,67</t>
  </si>
  <si>
    <t>59,64,68</t>
  </si>
  <si>
    <t>108,111,114</t>
  </si>
  <si>
    <t>227,225,216</t>
  </si>
  <si>
    <t>173,177,178</t>
  </si>
  <si>
    <t>84,84,80</t>
  </si>
  <si>
    <t>240,244,242</t>
  </si>
  <si>
    <t>103,118,125</t>
  </si>
  <si>
    <t>84,63,59</t>
  </si>
  <si>
    <t>59,53,48</t>
  </si>
  <si>
    <t>235,238,237</t>
  </si>
  <si>
    <t>138,121,94</t>
  </si>
  <si>
    <t>96,105,100</t>
  </si>
  <si>
    <t>98,85,70</t>
  </si>
  <si>
    <t>166,169,167</t>
  </si>
  <si>
    <t>118,110,99</t>
  </si>
  <si>
    <t>145,136,125</t>
  </si>
  <si>
    <t>172,192,201</t>
  </si>
  <si>
    <t>123,125,126</t>
  </si>
  <si>
    <t>42,42,43</t>
  </si>
  <si>
    <t>161,158,153</t>
  </si>
  <si>
    <t>58,61,64</t>
  </si>
  <si>
    <t>163,167,169</t>
  </si>
  <si>
    <t>145,149,151</t>
  </si>
  <si>
    <t>231,232,223</t>
  </si>
  <si>
    <t>79,96,107</t>
  </si>
  <si>
    <t>73,63,51</t>
  </si>
  <si>
    <t>140,132,120</t>
  </si>
  <si>
    <t>64,64,65</t>
  </si>
  <si>
    <t>166,171,174</t>
  </si>
  <si>
    <t>136,128,117</t>
  </si>
  <si>
    <t>153,128,83</t>
  </si>
  <si>
    <t>86,85,81</t>
  </si>
  <si>
    <t>74,71,69</t>
  </si>
  <si>
    <t>165,171,174</t>
  </si>
  <si>
    <t>93,95,93</t>
  </si>
  <si>
    <t>228,223,214</t>
  </si>
  <si>
    <t>161,162,158</t>
  </si>
  <si>
    <t>169,160,146</t>
  </si>
  <si>
    <t>61,62,64</t>
  </si>
  <si>
    <t>156,160,161</t>
  </si>
  <si>
    <t>121,125,125</t>
  </si>
  <si>
    <t>161,158,152</t>
  </si>
  <si>
    <t>88,56,56</t>
  </si>
  <si>
    <t>159,162,162</t>
  </si>
  <si>
    <t>150,154,153</t>
  </si>
  <si>
    <t>144,146,147</t>
  </si>
  <si>
    <t>87,92,93</t>
  </si>
  <si>
    <t>124,120,115</t>
  </si>
  <si>
    <t>74,72,70</t>
  </si>
  <si>
    <t>164,169,171</t>
  </si>
  <si>
    <t>60,62,65</t>
  </si>
  <si>
    <t>85,71,55</t>
  </si>
  <si>
    <t>69,70,71</t>
  </si>
  <si>
    <t>133,137,138</t>
  </si>
  <si>
    <t>85,88,91</t>
  </si>
  <si>
    <t>124,128,131</t>
  </si>
  <si>
    <t>89,90,87</t>
  </si>
  <si>
    <t>165,169,171</t>
  </si>
  <si>
    <t>82,86,89</t>
  </si>
  <si>
    <t>77,81,83</t>
  </si>
  <si>
    <t>50,51,52</t>
  </si>
  <si>
    <t>48,48,49</t>
  </si>
  <si>
    <t>41,74,98</t>
  </si>
  <si>
    <t>110,113,115</t>
  </si>
  <si>
    <t>239,238,229</t>
  </si>
  <si>
    <t>193,186,165</t>
  </si>
  <si>
    <t>156,158,154</t>
  </si>
  <si>
    <t>196,191,181</t>
  </si>
  <si>
    <t>240,242,237</t>
  </si>
  <si>
    <t>92,96,99</t>
  </si>
  <si>
    <t>73,61,59</t>
  </si>
  <si>
    <t>144,145,144</t>
  </si>
  <si>
    <t>197,178,155</t>
  </si>
  <si>
    <t>124,137,131</t>
  </si>
  <si>
    <t>Standards</t>
  </si>
  <si>
    <t>Naming</t>
  </si>
  <si>
    <t>CLADDING_Stone</t>
  </si>
  <si>
    <t>CLADDING_Fibre Cement Board</t>
  </si>
  <si>
    <t>WALL_Vapour Barrier</t>
  </si>
  <si>
    <t>WALL_Furring_28mm</t>
  </si>
  <si>
    <t>WALL_Concrete_Insitu Wall_150w</t>
  </si>
  <si>
    <t>WALL_Concrete_Permanent Formwork_AFS Fibre Cement</t>
  </si>
  <si>
    <t>WALL_Concrete_Permanent Formwork_AFS Wall_Logicwall_162w</t>
  </si>
  <si>
    <t>WALL_Concrete_Permanent Formwork_AFS Wall_Logicwall_120w</t>
  </si>
  <si>
    <t>WALL_Concrete_Permanent Formwork_AFS Wall_Logicwall_150w</t>
  </si>
  <si>
    <t>WALL_Concrete_Permanent Formwork_AFS Wall_Logicwall_200w</t>
  </si>
  <si>
    <t>WALL_Concrete_Permanent Formwork_AFS Wall_Logicwall_262w</t>
  </si>
  <si>
    <t>WALL_Concrete_Permanent Formwork_Ritek Wall_135w</t>
  </si>
  <si>
    <t>WALL_Concrete_Permanent Formwork_Ritek Wall_150w</t>
  </si>
  <si>
    <t>WALL_Concrete_Permanent Formwork_Ritek Wall_200w</t>
  </si>
  <si>
    <t>WALL_Stud_Metal_92mm</t>
  </si>
  <si>
    <t>WALL_Furring_16mm</t>
  </si>
  <si>
    <t>INSULATION_Rigid Board</t>
  </si>
  <si>
    <t>CLADDING_Weatherboard_ Black Matte</t>
  </si>
  <si>
    <t>WALL_Top Hat_35mm</t>
  </si>
  <si>
    <t>WALL_Stud_Metal_150mm</t>
  </si>
  <si>
    <t>CLADDING_Weatherboard_ Timber</t>
  </si>
  <si>
    <t>CLADDING_Soffit_ Fibre Cement</t>
  </si>
  <si>
    <t>Material Type</t>
  </si>
  <si>
    <t>Shininess</t>
  </si>
  <si>
    <t>Smoothness</t>
  </si>
  <si>
    <t>Transparency</t>
  </si>
  <si>
    <t>SurfaceForegroundPattern</t>
  </si>
  <si>
    <t>SurfaceForegroundPatternColor</t>
  </si>
  <si>
    <t>SurfaceBackgroundPattern</t>
  </si>
  <si>
    <t>SurfaceBackgroundPatternColor</t>
  </si>
  <si>
    <t>CutForegroundPattern</t>
  </si>
  <si>
    <t>CutForegroundPatternColor</t>
  </si>
  <si>
    <t>CutBackgroundPattern</t>
  </si>
  <si>
    <t>CutBackgroundPatternColor</t>
  </si>
  <si>
    <t>Color(Red = 0, Green = 0, Blue = 0, Alpha = 255)</t>
  </si>
  <si>
    <t>Stone</t>
  </si>
  <si>
    <t>Paint</t>
  </si>
  <si>
    <t>Class</t>
  </si>
  <si>
    <t>Timber</t>
  </si>
  <si>
    <t>Metal</t>
  </si>
  <si>
    <t>Manufacturer</t>
  </si>
  <si>
    <t>Mark</t>
  </si>
  <si>
    <t>Category</t>
  </si>
  <si>
    <t>Type</t>
  </si>
  <si>
    <t>CASEWORK</t>
  </si>
  <si>
    <t>Thickness</t>
  </si>
  <si>
    <t>Bluegrey</t>
  </si>
  <si>
    <t>softblue</t>
  </si>
  <si>
    <t>grey blue</t>
  </si>
  <si>
    <t>darkbluegrey</t>
  </si>
  <si>
    <t>blueblue</t>
  </si>
  <si>
    <t>slategrey</t>
  </si>
  <si>
    <t>greyyy</t>
  </si>
  <si>
    <t>grey73.5</t>
  </si>
  <si>
    <t>grey86.5</t>
  </si>
  <si>
    <t>grey93.5</t>
  </si>
  <si>
    <t>grey13.5</t>
  </si>
  <si>
    <t>redorange</t>
  </si>
  <si>
    <t>amethyst</t>
  </si>
  <si>
    <t>shadeof white</t>
  </si>
  <si>
    <t>break</t>
  </si>
  <si>
    <t>THICKNESS</t>
  </si>
  <si>
    <t>FINISH</t>
  </si>
  <si>
    <t>Wood</t>
  </si>
  <si>
    <t>Floor</t>
  </si>
  <si>
    <t>Glass</t>
  </si>
  <si>
    <t>Ceramic</t>
  </si>
  <si>
    <t>COLOUR NAME</t>
  </si>
  <si>
    <t>TILE</t>
  </si>
  <si>
    <t>STONE</t>
  </si>
  <si>
    <t>GLASS</t>
  </si>
  <si>
    <t>CARPET</t>
  </si>
  <si>
    <t>PAINT</t>
  </si>
  <si>
    <t>TIMBER</t>
  </si>
  <si>
    <t>METAL</t>
  </si>
  <si>
    <t>PRE FINISHED BOARD</t>
  </si>
  <si>
    <t>LAMINATE</t>
  </si>
  <si>
    <t>GLASS PANTED</t>
  </si>
  <si>
    <t>GLASS CLEAR</t>
  </si>
  <si>
    <t>SOLID TIMBER</t>
  </si>
  <si>
    <t>STAINLESS STEEL</t>
  </si>
  <si>
    <t>ANODIZED ALUMINIUM</t>
  </si>
  <si>
    <t>B</t>
  </si>
  <si>
    <t>G</t>
  </si>
  <si>
    <t>Unique Number</t>
  </si>
  <si>
    <t>R</t>
  </si>
  <si>
    <t>ox</t>
  </si>
  <si>
    <t>newcolour</t>
  </si>
  <si>
    <t>106,113,13</t>
  </si>
  <si>
    <t>DarkGray - 169, 169, 169</t>
  </si>
  <si>
    <t>35,91,82</t>
  </si>
  <si>
    <t>Crazy Blue</t>
  </si>
  <si>
    <t>44,33,93</t>
  </si>
  <si>
    <t>dumb green</t>
  </si>
  <si>
    <t>31,95,37</t>
  </si>
  <si>
    <t>a</t>
  </si>
  <si>
    <t>MANUFACTURER</t>
  </si>
  <si>
    <t>CONTACT</t>
  </si>
  <si>
    <t xml:space="preserve">OFFICE </t>
  </si>
  <si>
    <t>MOBILE</t>
  </si>
  <si>
    <t>EMAIL</t>
  </si>
  <si>
    <t>Manufacturer Revit</t>
  </si>
  <si>
    <t>DESCRIPTION</t>
  </si>
  <si>
    <t>MATERIAL TYPE</t>
  </si>
  <si>
    <t>CLASS</t>
  </si>
  <si>
    <t>FORMAT</t>
  </si>
  <si>
    <t>Model Spec. Revit</t>
  </si>
  <si>
    <t>KEYNOTE</t>
  </si>
  <si>
    <t xml:space="preserve">RGB COLOUR </t>
  </si>
  <si>
    <t>PICTURE</t>
  </si>
  <si>
    <t>WOODPECKER</t>
  </si>
  <si>
    <t>TYLER DEANE</t>
  </si>
  <si>
    <t xml:space="preserve">(08) 6142 1511 </t>
  </si>
  <si>
    <t>0400 747 681</t>
  </si>
  <si>
    <t>TYLER@WOODPECKERFLOORING.COM.AU</t>
  </si>
  <si>
    <t>HAMPTON</t>
  </si>
  <si>
    <t>TIMBER FLOORING</t>
  </si>
  <si>
    <t>FLOOR</t>
  </si>
  <si>
    <t>PLY</t>
  </si>
  <si>
    <t>190 X 1200</t>
  </si>
  <si>
    <t>LAMINEX</t>
  </si>
  <si>
    <t>CATERINA SHARPE</t>
  </si>
  <si>
    <t>0407 750 126</t>
  </si>
  <si>
    <t>CATERINA.SHARPE@LAMINEX.COM.AU</t>
  </si>
  <si>
    <t>MDF</t>
  </si>
  <si>
    <t>ARIES</t>
  </si>
  <si>
    <t>MELAMINE</t>
  </si>
  <si>
    <t>NATURAL</t>
  </si>
  <si>
    <t>SUBSTRATE</t>
  </si>
  <si>
    <t>2400 X 1200</t>
  </si>
  <si>
    <t>WHITE TILE</t>
  </si>
  <si>
    <t>ORIGINAL CERAMICS</t>
  </si>
  <si>
    <t>FRANK CARDINALE</t>
  </si>
  <si>
    <t>(08) 9444 8087</t>
  </si>
  <si>
    <t>FRANK@ORIGINALCERAMICS.COM.AU</t>
  </si>
  <si>
    <t>PORCELAIN</t>
  </si>
  <si>
    <t>MATT</t>
  </si>
  <si>
    <t>WALL TILE</t>
  </si>
  <si>
    <t>50 X 200</t>
  </si>
  <si>
    <t>LEXICON QUARTER</t>
  </si>
  <si>
    <t>DULUX</t>
  </si>
  <si>
    <t>CEILING WHITE</t>
  </si>
  <si>
    <t>INTERIOR ACRYLIC</t>
  </si>
  <si>
    <t>SEMI GLOSS</t>
  </si>
  <si>
    <t>LOW SHEEN</t>
  </si>
  <si>
    <t>ENGINEERED TIMBER FLOORING</t>
  </si>
  <si>
    <t>300 x 600</t>
  </si>
  <si>
    <t>NOTAIO WALNUT</t>
  </si>
  <si>
    <t>POLYTEC</t>
  </si>
  <si>
    <t>LARA DUDNEY</t>
  </si>
  <si>
    <t>0429 675 303</t>
  </si>
  <si>
    <t>1300 300 547</t>
  </si>
  <si>
    <t>DUDNEYL@POLYTEC.COM.AU</t>
  </si>
  <si>
    <t>TIMBER LOOK MELAMINE</t>
  </si>
  <si>
    <t>3600 X 1800</t>
  </si>
  <si>
    <t>WOODMATT</t>
  </si>
  <si>
    <t>WOODPECKER
TYLER DEANE
(08) 6142 1511 
0400 747 681
TYLER@WOODPECKERFLOORING.COM.AU</t>
  </si>
  <si>
    <t>INT-20220902113126</t>
  </si>
  <si>
    <t xml:space="preserve">TIMBER FLOORING
FORMAT: PLY 190 X 1200
THICKNESS: 12mm
FINISH: </t>
  </si>
  <si>
    <t>INT-20220902113156</t>
  </si>
  <si>
    <t>LAMINEX
CATERINA SHARPE
0407 750 126
CATERINA.SHARPE@LAMINEX.COM.AU</t>
  </si>
  <si>
    <t>PRE FINISHED BOARD
FORMAT: MDF 2400 X 1200
THICKNESS: 16mm
FINISH: NATURAL</t>
  </si>
  <si>
    <t>POLYTEC
LARA DUDNEY
1300 300 547
0429 675 303
DUDNEYL@POLYTEC.COM.AU</t>
  </si>
  <si>
    <t>PRE FINISHED BOARD
FORMAT: MDF 3600 X 1800
THICKNESS: 18mm
FINISH: WOODMATT</t>
  </si>
  <si>
    <t>INT-20220902113210</t>
  </si>
  <si>
    <t>ORIGINAL CERAMICS
FRANK CARDINALE
(08) 9444 8087
FRANK@ORIGINALCERAMICS.COM.AU</t>
  </si>
  <si>
    <t>TILE
FORMAT: PORCELAIN 300 x 600
THICKNESS: 10mm
FINISH: MATT</t>
  </si>
  <si>
    <t>INT-20220902113211</t>
  </si>
  <si>
    <t>TILE
FORMAT: PORCELAIN 50 X 200
THICKNESS: 10mm
FINISH: MATT</t>
  </si>
  <si>
    <t>INT-20220902113217</t>
  </si>
  <si>
    <t xml:space="preserve">DULUX
</t>
  </si>
  <si>
    <t>PAINT
FORMAT:  
THICKNESS: mm
FINISH: SEMI GLOSS</t>
  </si>
  <si>
    <t>INT-20220902113219</t>
  </si>
  <si>
    <t>PAINT
FORMAT:  
THICKNESS: mm
FINISH: LOW SHEEN</t>
  </si>
  <si>
    <t>S:\Architecture Resource\MATERIALS &amp; TEXTURES\Timber Veneer\Ivory-Elm-EDIT.jpg</t>
  </si>
  <si>
    <t>INT-20220902113759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</si>
</sst>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vertAlign val="superscript"/>
      <sz val="10"/>
      <color rgb="FF000000"/>
      <name val="Arial"/>
      <family val="2"/>
    </font>
    <font>
      <vertAlign val="superscript"/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</fonts>
  <fills count="109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635688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241882"/>
        <bgColor indexed="64"/>
      </patternFill>
    </fill>
    <fill>
      <patternFill patternType="solid">
        <fgColor rgb="FF5959AB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DB937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8E2323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5CCB0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D8D8BF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B87333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AABBCC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42426F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23238E"/>
        <bgColor indexed="64"/>
      </patternFill>
    </fill>
    <fill>
      <patternFill patternType="solid">
        <fgColor rgb="FF4156C5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5C3317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BC79E"/>
        <bgColor indexed="64"/>
      </patternFill>
    </fill>
    <fill>
      <patternFill patternType="solid">
        <fgColor rgb="FF2F4F2F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DBDB70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35BD8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9932CD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9F5F9F"/>
        <bgColor indexed="64"/>
      </patternFill>
    </fill>
    <fill>
      <patternFill patternType="solid">
        <fgColor rgb="FF4F2F4F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A67D3D"/>
        <bgColor indexed="64"/>
      </patternFill>
    </fill>
    <fill>
      <patternFill patternType="solid">
        <fgColor rgb="FF236B8E"/>
        <bgColor indexed="64"/>
      </patternFill>
    </fill>
    <fill>
      <patternFill patternType="solid">
        <fgColor rgb="FFC4610F"/>
        <bgColor indexed="64"/>
      </patternFill>
    </fill>
    <fill>
      <patternFill patternType="solid">
        <fgColor rgb="FF3DDB87"/>
        <bgColor indexed="64"/>
      </patternFill>
    </fill>
    <fill>
      <patternFill patternType="solid">
        <fgColor rgb="FF80FFD4"/>
        <bgColor indexed="64"/>
      </patternFill>
    </fill>
    <fill>
      <patternFill patternType="solid">
        <fgColor rgb="FF858582"/>
        <bgColor indexed="64"/>
      </patternFill>
    </fill>
    <fill>
      <patternFill patternType="solid">
        <fgColor rgb="FF967017"/>
        <bgColor indexed="64"/>
      </patternFill>
    </fill>
    <fill>
      <patternFill patternType="solid">
        <fgColor rgb="FFA67063"/>
        <bgColor indexed="64"/>
      </patternFill>
    </fill>
    <fill>
      <patternFill patternType="solid">
        <fgColor rgb="FF0017A8"/>
        <bgColor indexed="64"/>
      </patternFill>
    </fill>
    <fill>
      <patternFill patternType="solid">
        <fgColor rgb="FF3D69E8"/>
        <bgColor indexed="64"/>
      </patternFill>
    </fill>
    <fill>
      <patternFill patternType="solid">
        <fgColor rgb="FFFFAB1C"/>
        <bgColor indexed="64"/>
      </patternFill>
    </fill>
    <fill>
      <patternFill patternType="solid">
        <fgColor rgb="FFCC5400"/>
        <bgColor indexed="64"/>
      </patternFill>
    </fill>
    <fill>
      <patternFill patternType="solid">
        <fgColor rgb="FFED872E"/>
        <bgColor indexed="64"/>
      </patternFill>
    </fill>
    <fill>
      <patternFill patternType="solid">
        <fgColor rgb="FFE3707A"/>
        <bgColor indexed="64"/>
      </patternFill>
    </fill>
    <fill>
      <patternFill patternType="solid">
        <fgColor rgb="FF57A1D4"/>
        <bgColor indexed="64"/>
      </patternFill>
    </fill>
    <fill>
      <patternFill patternType="solid">
        <fgColor rgb="FF2952BF"/>
        <bgColor indexed="64"/>
      </patternFill>
    </fill>
    <fill>
      <patternFill patternType="solid">
        <fgColor rgb="FFFFB8C4"/>
        <bgColor indexed="64"/>
      </patternFill>
    </fill>
    <fill>
      <patternFill patternType="solid">
        <fgColor rgb="FFD1691F"/>
        <bgColor indexed="64"/>
      </patternFill>
    </fill>
    <fill>
      <patternFill patternType="solid">
        <fgColor rgb="FFBAD9EB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FFF7E8"/>
        <bgColor indexed="64"/>
      </patternFill>
    </fill>
    <fill>
      <patternFill patternType="solid">
        <fgColor rgb="FF00B8EB"/>
        <bgColor indexed="64"/>
      </patternFill>
    </fill>
    <fill>
      <patternFill patternType="solid">
        <fgColor rgb="FFB8870A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5C4033"/>
        <bgColor indexed="64"/>
      </patternFill>
    </fill>
    <fill>
      <patternFill patternType="solid">
        <fgColor rgb="FFA68064"/>
        <bgColor indexed="64"/>
      </patternFill>
    </fill>
    <fill>
      <patternFill patternType="solid">
        <fgColor rgb="FF4A766E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AADEA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AEAAE"/>
        <bgColor indexed="64"/>
      </patternFill>
    </fill>
    <fill>
      <patternFill patternType="solid">
        <fgColor rgb="FF8C7853"/>
        <bgColor indexed="64"/>
      </patternFill>
    </fill>
    <fill>
      <patternFill patternType="solid">
        <fgColor rgb="FF0047BA"/>
        <bgColor indexed="64"/>
      </patternFill>
    </fill>
    <fill>
      <patternFill patternType="solid">
        <fgColor rgb="FF9E2B69"/>
        <bgColor indexed="64"/>
      </patternFill>
    </fill>
    <fill>
      <patternFill patternType="solid">
        <fgColor rgb="FF915C82"/>
        <bgColor indexed="64"/>
      </patternFill>
    </fill>
    <fill>
      <patternFill patternType="solid">
        <fgColor rgb="FFB3BFB5"/>
        <bgColor indexed="64"/>
      </patternFill>
    </fill>
    <fill>
      <patternFill patternType="solid">
        <fgColor rgb="FFFF91B0"/>
        <bgColor indexed="64"/>
      </patternFill>
    </fill>
    <fill>
      <patternFill patternType="solid">
        <fgColor rgb="FFFFE3C4"/>
        <bgColor indexed="64"/>
      </patternFill>
    </fill>
    <fill>
      <patternFill patternType="solid">
        <fgColor rgb="FFFFEBCC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78453B"/>
        <bgColor indexed="64"/>
      </patternFill>
    </fill>
    <fill>
      <patternFill patternType="solid">
        <fgColor rgb="FF7AB561"/>
        <bgColor indexed="64"/>
      </patternFill>
    </fill>
    <fill>
      <patternFill patternType="solid">
        <fgColor rgb="FF702963"/>
        <bgColor indexed="64"/>
      </patternFill>
    </fill>
    <fill>
      <patternFill patternType="solid">
        <fgColor rgb="FFF0BACC"/>
        <bgColor indexed="64"/>
      </patternFill>
    </fill>
    <fill>
      <patternFill patternType="solid">
        <fgColor rgb="FFFFA6C9"/>
        <bgColor indexed="64"/>
      </patternFill>
    </fill>
    <fill>
      <patternFill patternType="solid">
        <fgColor rgb="FF007AA6"/>
        <bgColor indexed="64"/>
      </patternFill>
    </fill>
    <fill>
      <patternFill patternType="solid">
        <fgColor rgb="FF944536"/>
        <bgColor indexed="64"/>
      </patternFill>
    </fill>
    <fill>
      <patternFill patternType="solid">
        <fgColor rgb="FFE34233"/>
        <bgColor indexed="64"/>
      </patternFill>
    </fill>
    <fill>
      <patternFill patternType="solid">
        <fgColor rgb="FFFAED5C"/>
        <bgColor indexed="64"/>
      </patternFill>
    </fill>
    <fill>
      <patternFill patternType="solid">
        <fgColor rgb="FF9E1C33"/>
        <bgColor indexed="64"/>
      </patternFill>
    </fill>
    <fill>
      <patternFill patternType="solid">
        <fgColor rgb="FF008C8C"/>
        <bgColor indexed="64"/>
      </patternFill>
    </fill>
    <fill>
      <patternFill patternType="solid">
        <fgColor rgb="FF546B2E"/>
        <bgColor indexed="64"/>
      </patternFill>
    </fill>
    <fill>
      <patternFill patternType="solid">
        <fgColor rgb="FF473D8C"/>
        <bgColor indexed="64"/>
      </patternFill>
    </fill>
    <fill>
      <patternFill patternType="solid">
        <fgColor rgb="FFBA4F47"/>
        <bgColor indexed="64"/>
      </patternFill>
    </fill>
    <fill>
      <patternFill patternType="solid">
        <fgColor rgb="FF2142B5"/>
        <bgColor indexed="64"/>
      </patternFill>
    </fill>
    <fill>
      <patternFill patternType="solid">
        <fgColor rgb="FF545C4F"/>
        <bgColor indexed="64"/>
      </patternFill>
    </fill>
    <fill>
      <patternFill patternType="solid">
        <fgColor rgb="FF4FC778"/>
        <bgColor indexed="64"/>
      </patternFill>
    </fill>
    <fill>
      <patternFill patternType="solid">
        <fgColor rgb="FFC2996B"/>
        <bgColor indexed="64"/>
      </patternFill>
    </fill>
    <fill>
      <patternFill patternType="solid">
        <fgColor rgb="FF693069"/>
        <bgColor indexed="64"/>
      </patternFill>
    </fill>
    <fill>
      <patternFill patternType="solid">
        <fgColor rgb="FFA67A5C"/>
        <bgColor indexed="64"/>
      </patternFill>
    </fill>
    <fill>
      <patternFill patternType="solid">
        <fgColor rgb="FFC72B47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002266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7093DB"/>
        <bgColor indexed="64"/>
      </patternFill>
    </fill>
    <fill>
      <patternFill patternType="solid">
        <fgColor rgb="FF38B0DE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6B4226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238E68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99CC32"/>
        <bgColor indexed="64"/>
      </patternFill>
    </fill>
    <fill>
      <patternFill patternType="solid">
        <fgColor rgb="FFD9D919"/>
        <bgColor indexed="64"/>
      </patternFill>
    </fill>
    <fill>
      <patternFill patternType="solid">
        <fgColor rgb="FFB0BF1A"/>
        <bgColor indexed="64"/>
      </patternFill>
    </fill>
    <fill>
      <patternFill patternType="solid">
        <fgColor rgb="FFF29CBA"/>
        <bgColor indexed="64"/>
      </patternFill>
    </fill>
    <fill>
      <patternFill patternType="solid">
        <fgColor rgb="FF851C2E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AE8B5"/>
        <bgColor indexed="64"/>
      </patternFill>
    </fill>
    <fill>
      <patternFill patternType="solid">
        <fgColor rgb="FF3D2B1F"/>
        <bgColor indexed="64"/>
      </patternFill>
    </fill>
    <fill>
      <patternFill patternType="solid">
        <fgColor rgb="FF308CE8"/>
        <bgColor indexed="64"/>
      </patternFill>
    </fill>
    <fill>
      <patternFill patternType="solid">
        <fgColor rgb="FFA3A3D1"/>
        <bgColor indexed="64"/>
      </patternFill>
    </fill>
    <fill>
      <patternFill patternType="solid">
        <fgColor rgb="FFE3D9C9"/>
        <bgColor indexed="64"/>
      </patternFill>
    </fill>
    <fill>
      <patternFill patternType="solid">
        <fgColor rgb="FFFFC780"/>
        <bgColor indexed="64"/>
      </patternFill>
    </fill>
    <fill>
      <patternFill patternType="solid">
        <fgColor rgb="FF5E9EA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31C1C"/>
        <bgColor indexed="64"/>
      </patternFill>
    </fill>
    <fill>
      <patternFill patternType="solid">
        <fgColor rgb="FF6E9CC2"/>
        <bgColor indexed="64"/>
      </patternFill>
    </fill>
    <fill>
      <patternFill patternType="solid">
        <fgColor rgb="FFE33D29"/>
        <bgColor indexed="64"/>
      </patternFill>
    </fill>
    <fill>
      <patternFill patternType="solid">
        <fgColor rgb="FFCC617D"/>
        <bgColor indexed="64"/>
      </patternFill>
    </fill>
    <fill>
      <patternFill patternType="solid">
        <fgColor rgb="FFD98A66"/>
        <bgColor indexed="64"/>
      </patternFill>
    </fill>
    <fill>
      <patternFill patternType="solid">
        <fgColor rgb="FF6394ED"/>
        <bgColor indexed="64"/>
      </patternFill>
    </fill>
    <fill>
      <patternFill patternType="solid">
        <fgColor rgb="FF546978"/>
        <bgColor indexed="64"/>
      </patternFill>
    </fill>
    <fill>
      <patternFill patternType="solid">
        <fgColor rgb="FF9933CC"/>
        <bgColor indexed="64"/>
      </patternFill>
    </fill>
    <fill>
      <patternFill patternType="solid">
        <fgColor rgb="FF2E4F4F"/>
        <bgColor indexed="64"/>
      </patternFill>
    </fill>
    <fill>
      <patternFill patternType="solid">
        <fgColor rgb="FF004A4A"/>
        <bgColor indexed="64"/>
      </patternFill>
    </fill>
    <fill>
      <patternFill patternType="solid">
        <fgColor rgb="FFC2B380"/>
        <bgColor indexed="64"/>
      </patternFill>
    </fill>
    <fill>
      <patternFill patternType="solid">
        <fgColor rgb="FF6B3082"/>
        <bgColor indexed="64"/>
      </patternFill>
    </fill>
    <fill>
      <patternFill patternType="solid">
        <fgColor rgb="FF801717"/>
        <bgColor indexed="64"/>
      </patternFill>
    </fill>
    <fill>
      <patternFill patternType="solid">
        <fgColor rgb="FFB32121"/>
        <bgColor indexed="64"/>
      </patternFill>
    </fill>
    <fill>
      <patternFill patternType="solid">
        <fgColor rgb="FF856E4D"/>
        <bgColor indexed="64"/>
      </patternFill>
    </fill>
    <fill>
      <patternFill patternType="solid">
        <fgColor rgb="FF78B5FF"/>
        <bgColor indexed="64"/>
      </patternFill>
    </fill>
    <fill>
      <patternFill patternType="solid">
        <fgColor rgb="FF663399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1F50C8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8E6B23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6F4242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ADEAEA"/>
        <bgColor indexed="64"/>
      </patternFill>
    </fill>
    <fill>
      <patternFill patternType="solid">
        <fgColor rgb="FFD9D9F3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CFB53B"/>
        <bgColor indexed="64"/>
      </patternFill>
    </fill>
    <fill>
      <patternFill patternType="solid">
        <fgColor rgb="FF7DBAE8"/>
        <bgColor indexed="64"/>
      </patternFill>
    </fill>
    <fill>
      <patternFill patternType="solid">
        <fgColor rgb="FFAB264F"/>
        <bgColor indexed="64"/>
      </patternFill>
    </fill>
    <fill>
      <patternFill patternType="solid">
        <fgColor rgb="FFFAEBD6"/>
        <bgColor indexed="64"/>
      </patternFill>
    </fill>
    <fill>
      <patternFill patternType="solid">
        <fgColor rgb="FFFCED00"/>
        <bgColor indexed="64"/>
      </patternFill>
    </fill>
    <fill>
      <patternFill patternType="solid">
        <fgColor rgb="FF7D0A03"/>
        <bgColor indexed="64"/>
      </patternFill>
    </fill>
    <fill>
      <patternFill patternType="solid">
        <fgColor rgb="FFC9E00D"/>
        <bgColor indexed="64"/>
      </patternFill>
    </fill>
    <fill>
      <patternFill patternType="solid">
        <fgColor rgb="FFABE6ED"/>
        <bgColor indexed="64"/>
      </patternFill>
    </fill>
    <fill>
      <patternFill patternType="solid">
        <fgColor rgb="FFCC4054"/>
        <bgColor indexed="64"/>
      </patternFill>
    </fill>
    <fill>
      <patternFill patternType="solid">
        <fgColor rgb="FF800021"/>
        <bgColor indexed="64"/>
      </patternFill>
    </fill>
    <fill>
      <patternFill patternType="solid">
        <fgColor rgb="FF91A3B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ED9121"/>
        <bgColor indexed="64"/>
      </patternFill>
    </fill>
    <fill>
      <patternFill patternType="solid">
        <fgColor rgb="FF1CABD6"/>
        <bgColor indexed="64"/>
      </patternFill>
    </fill>
    <fill>
      <patternFill patternType="solid">
        <fgColor rgb="FFDE70A1"/>
        <bgColor indexed="64"/>
      </patternFill>
    </fill>
    <fill>
      <patternFill patternType="solid">
        <fgColor rgb="FFE3D10A"/>
        <bgColor indexed="64"/>
      </patternFill>
    </fill>
    <fill>
      <patternFill patternType="solid">
        <fgColor rgb="FFAD7069"/>
        <bgColor indexed="64"/>
      </patternFill>
    </fill>
    <fill>
      <patternFill patternType="solid">
        <fgColor rgb="FFFFF7DB"/>
        <bgColor indexed="64"/>
      </patternFill>
    </fill>
    <fill>
      <patternFill patternType="solid">
        <fgColor rgb="FF006300"/>
        <bgColor indexed="64"/>
      </patternFill>
    </fill>
    <fill>
      <patternFill patternType="solid">
        <fgColor rgb="FF301A33"/>
        <bgColor indexed="64"/>
      </patternFill>
    </fill>
    <fill>
      <patternFill patternType="solid">
        <fgColor rgb="FF177345"/>
        <bgColor indexed="64"/>
      </patternFill>
    </fill>
    <fill>
      <patternFill patternType="solid">
        <fgColor rgb="FFFF1494"/>
        <bgColor indexed="64"/>
      </patternFill>
    </fill>
    <fill>
      <patternFill patternType="solid">
        <fgColor rgb="FFEDC9B0"/>
        <bgColor indexed="64"/>
      </patternFill>
    </fill>
    <fill>
      <patternFill patternType="solid">
        <fgColor rgb="FFB58294"/>
        <bgColor indexed="64"/>
      </patternFill>
    </fill>
    <fill>
      <patternFill patternType="solid">
        <fgColor rgb="FFB5338A"/>
        <bgColor indexed="64"/>
      </patternFill>
    </fill>
    <fill>
      <patternFill patternType="solid">
        <fgColor rgb="FFCF2129"/>
        <bgColor indexed="64"/>
      </patternFill>
    </fill>
    <fill>
      <patternFill patternType="solid">
        <fgColor rgb="FF0073BA"/>
        <bgColor indexed="64"/>
      </patternFill>
    </fill>
    <fill>
      <patternFill patternType="solid">
        <fgColor rgb="FF8705CF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1F50CC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70DBD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4F4F2F"/>
        <bgColor indexed="64"/>
      </patternFill>
    </fill>
    <fill>
      <patternFill patternType="solid">
        <fgColor rgb="FF09F911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8C1717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DB70D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CC3299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B385BF"/>
        <bgColor indexed="64"/>
      </patternFill>
    </fill>
    <fill>
      <patternFill patternType="solid">
        <fgColor rgb="FF3B7A57"/>
        <bgColor indexed="64"/>
      </patternFill>
    </fill>
    <fill>
      <patternFill patternType="solid">
        <fgColor rgb="FFFACFB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BDD4E6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5CADED"/>
        <bgColor indexed="64"/>
      </patternFill>
    </fill>
    <fill>
      <patternFill patternType="solid">
        <fgColor rgb="FFD991F0"/>
        <bgColor indexed="64"/>
      </patternFill>
    </fill>
    <fill>
      <patternFill patternType="solid">
        <fgColor rgb="FF006B3D"/>
        <bgColor indexed="64"/>
      </patternFill>
    </fill>
    <fill>
      <patternFill patternType="solid">
        <fgColor rgb="FF703642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70DB93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2F2F4F"/>
        <bgColor indexed="64"/>
      </patternFill>
    </fill>
    <fill>
      <patternFill patternType="solid">
        <fgColor rgb="FFA62A2A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D19275"/>
        <bgColor indexed="64"/>
      </patternFill>
    </fill>
    <fill>
      <patternFill patternType="solid">
        <fgColor rgb="FF029D74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FF1CAE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73A1C2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8ACFF0"/>
        <bgColor indexed="64"/>
      </patternFill>
    </fill>
    <fill>
      <patternFill patternType="solid">
        <fgColor rgb="FF9E8270"/>
        <bgColor indexed="64"/>
      </patternFill>
    </fill>
    <fill>
      <patternFill patternType="solid">
        <fgColor rgb="FF3D0D03"/>
        <bgColor indexed="64"/>
      </patternFill>
    </fill>
    <fill>
      <patternFill patternType="solid">
        <fgColor rgb="FF126180"/>
        <bgColor indexed="64"/>
      </patternFill>
    </fill>
    <fill>
      <patternFill patternType="solid">
        <fgColor rgb="FFC22147"/>
        <bgColor indexed="64"/>
      </patternFill>
    </fill>
    <fill>
      <patternFill patternType="solid">
        <fgColor rgb="FFA17A73"/>
        <bgColor indexed="64"/>
      </patternFill>
    </fill>
    <fill>
      <patternFill patternType="solid">
        <fgColor rgb="FFC41F3B"/>
        <bgColor indexed="64"/>
      </patternFill>
    </fill>
    <fill>
      <patternFill patternType="solid">
        <fgColor rgb="FFC9594A"/>
        <bgColor indexed="64"/>
      </patternFill>
    </fill>
    <fill>
      <patternFill patternType="solid">
        <fgColor rgb="FFF2DECF"/>
        <bgColor indexed="64"/>
      </patternFill>
    </fill>
    <fill>
      <patternFill patternType="solid">
        <fgColor rgb="FF856187"/>
        <bgColor indexed="64"/>
      </patternFill>
    </fill>
    <fill>
      <patternFill patternType="solid">
        <fgColor rgb="FF801733"/>
        <bgColor indexed="64"/>
      </patternFill>
    </fill>
    <fill>
      <patternFill patternType="solid">
        <fgColor rgb="FF996666"/>
        <bgColor indexed="64"/>
      </patternFill>
    </fill>
    <fill>
      <patternFill patternType="solid">
        <fgColor rgb="FF82613D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BDB86B"/>
        <bgColor indexed="64"/>
      </patternFill>
    </fill>
    <fill>
      <patternFill patternType="solid">
        <fgColor rgb="FFE8967A"/>
        <bgColor indexed="64"/>
      </patternFill>
    </fill>
    <fill>
      <patternFill patternType="solid">
        <fgColor rgb="FF9400D4"/>
        <bgColor indexed="64"/>
      </patternFill>
    </fill>
    <fill>
      <patternFill patternType="solid">
        <fgColor rgb="FF1F8FFF"/>
        <bgColor indexed="64"/>
      </patternFill>
    </fill>
    <fill>
      <patternFill patternType="solid">
        <fgColor rgb="FFF0EBD6"/>
        <bgColor indexed="64"/>
      </patternFill>
    </fill>
    <fill>
      <patternFill patternType="solid">
        <fgColor rgb="FFCC474A"/>
        <bgColor indexed="64"/>
      </patternFill>
    </fill>
    <fill>
      <patternFill patternType="solid">
        <fgColor rgb="FFE6AB70"/>
        <bgColor indexed="64"/>
      </patternFill>
    </fill>
    <fill>
      <patternFill patternType="solid">
        <fgColor rgb="FFEDDB82"/>
        <bgColor indexed="64"/>
      </patternFill>
    </fill>
    <fill>
      <patternFill patternType="solid">
        <fgColor rgb="FF87618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4D4DFF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97694F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871F78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D98719"/>
        <bgColor indexed="64"/>
      </patternFill>
    </fill>
    <fill>
      <patternFill patternType="solid">
        <fgColor rgb="FFE6E8FA"/>
        <bgColor indexed="64"/>
      </patternFill>
    </fill>
    <fill>
      <patternFill patternType="solid">
        <fgColor rgb="FFF0F7FF"/>
        <bgColor indexed="64"/>
      </patternFill>
    </fill>
    <fill>
      <patternFill patternType="solid">
        <fgColor rgb="FFD1FF14"/>
        <bgColor indexed="64"/>
      </patternFill>
    </fill>
    <fill>
      <patternFill patternType="solid">
        <fgColor rgb="FFA1C9F2"/>
        <bgColor indexed="64"/>
      </patternFill>
    </fill>
    <fill>
      <patternFill patternType="solid">
        <fgColor rgb="FFF5F5DB"/>
        <bgColor indexed="64"/>
      </patternFill>
    </fill>
    <fill>
      <patternFill patternType="solid">
        <fgColor rgb="FF546170"/>
        <bgColor indexed="64"/>
      </patternFill>
    </fill>
    <fill>
      <patternFill patternType="solid">
        <fgColor rgb="FF1F75FF"/>
        <bgColor indexed="64"/>
      </patternFill>
    </fill>
    <fill>
      <patternFill patternType="solid">
        <fgColor rgb="FF8A2BE3"/>
        <bgColor indexed="64"/>
      </patternFill>
    </fill>
    <fill>
      <patternFill patternType="solid">
        <fgColor rgb="FF1A73D1"/>
        <bgColor indexed="64"/>
      </patternFill>
    </fill>
    <fill>
      <patternFill patternType="solid">
        <fgColor rgb="FFE87352"/>
        <bgColor indexed="64"/>
      </patternFill>
    </fill>
    <fill>
      <patternFill patternType="solid">
        <fgColor rgb="FF4A3621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ABE0B0"/>
        <bgColor indexed="64"/>
      </patternFill>
    </fill>
    <fill>
      <patternFill patternType="solid">
        <fgColor rgb="FF36454F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704F38"/>
        <bgColor indexed="64"/>
      </patternFill>
    </fill>
    <fill>
      <patternFill patternType="solid">
        <fgColor rgb="FFFF804F"/>
        <bgColor indexed="64"/>
      </patternFill>
    </fill>
    <fill>
      <patternFill patternType="solid">
        <fgColor rgb="FFFFBDD9"/>
        <bgColor indexed="64"/>
      </patternFill>
    </fill>
    <fill>
      <patternFill patternType="solid">
        <fgColor rgb="FFF570A1"/>
        <bgColor indexed="64"/>
      </patternFill>
    </fill>
    <fill>
      <patternFill patternType="solid">
        <fgColor rgb="FF473D33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3399CC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00009C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855E42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238E23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56363"/>
        <bgColor indexed="64"/>
      </patternFill>
    </fill>
    <fill>
      <patternFill patternType="solid">
        <fgColor rgb="FFDB2E42"/>
        <bgColor indexed="64"/>
      </patternFill>
    </fill>
    <fill>
      <patternFill patternType="solid">
        <fgColor rgb="FFCC9475"/>
        <bgColor indexed="64"/>
      </patternFill>
    </fill>
    <fill>
      <patternFill patternType="solid">
        <fgColor rgb="FF4A7045"/>
        <bgColor indexed="64"/>
      </patternFill>
    </fill>
    <fill>
      <patternFill patternType="solid">
        <fgColor rgb="FFF5C2C2"/>
        <bgColor indexed="64"/>
      </patternFill>
    </fill>
    <fill>
      <patternFill patternType="solid">
        <fgColor rgb="FF2E5994"/>
        <bgColor indexed="64"/>
      </patternFill>
    </fill>
    <fill>
      <patternFill patternType="solid">
        <fgColor rgb="FF3B3D36"/>
        <bgColor indexed="64"/>
      </patternFill>
    </fill>
    <fill>
      <patternFill patternType="solid">
        <fgColor rgb="FF0094B0"/>
        <bgColor indexed="64"/>
      </patternFill>
    </fill>
    <fill>
      <patternFill patternType="solid">
        <fgColor rgb="FF4F73A6"/>
        <bgColor indexed="64"/>
      </patternFill>
    </fill>
    <fill>
      <patternFill patternType="solid">
        <fgColor rgb="FFCC8033"/>
        <bgColor indexed="64"/>
      </patternFill>
    </fill>
    <fill>
      <patternFill patternType="solid">
        <fgColor rgb="FF8A3324"/>
        <bgColor indexed="64"/>
      </patternFill>
    </fill>
    <fill>
      <patternFill patternType="solid">
        <fgColor rgb="FFA3C2AD"/>
        <bgColor indexed="64"/>
      </patternFill>
    </fill>
    <fill>
      <patternFill patternType="solid">
        <fgColor rgb="FF960017"/>
        <bgColor indexed="64"/>
      </patternFill>
    </fill>
    <fill>
      <patternFill patternType="solid">
        <fgColor rgb="FFB3FFFF"/>
        <bgColor indexed="64"/>
      </patternFill>
    </fill>
    <fill>
      <patternFill patternType="solid">
        <fgColor rgb="FFE68FAB"/>
        <bgColor indexed="64"/>
      </patternFill>
    </fill>
    <fill>
      <patternFill patternType="solid">
        <fgColor rgb="FF7A4000"/>
        <bgColor indexed="64"/>
      </patternFill>
    </fill>
    <fill>
      <patternFill patternType="solid">
        <fgColor rgb="FFF78278"/>
        <bgColor indexed="64"/>
      </patternFill>
    </fill>
    <fill>
      <patternFill patternType="solid">
        <fgColor rgb="FFFFFCD1"/>
        <bgColor indexed="64"/>
      </patternFill>
    </fill>
    <fill>
      <patternFill patternType="solid">
        <fgColor rgb="FF664221"/>
        <bgColor indexed="64"/>
      </patternFill>
    </fill>
    <fill>
      <patternFill patternType="solid">
        <fgColor rgb="FF543D38"/>
        <bgColor indexed="64"/>
      </patternFill>
    </fill>
    <fill>
      <patternFill patternType="solid">
        <fgColor rgb="FF3D1414"/>
        <bgColor indexed="64"/>
      </patternFill>
    </fill>
    <fill>
      <patternFill patternType="solid">
        <fgColor rgb="FFD93387"/>
        <bgColor indexed="64"/>
      </patternFill>
    </fill>
    <fill>
      <patternFill patternType="solid">
        <fgColor rgb="FF7D5E61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6B541F"/>
        <bgColor indexed="64"/>
      </patternFill>
    </fill>
    <fill>
      <patternFill patternType="solid">
        <fgColor rgb="FFD473D4"/>
        <bgColor indexed="64"/>
      </patternFill>
    </fill>
    <fill>
      <patternFill patternType="solid">
        <fgColor rgb="FFE38500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5C3854"/>
        <bgColor indexed="64"/>
      </patternFill>
    </fill>
    <fill>
      <patternFill patternType="solid">
        <fgColor rgb="FFFAD6A6"/>
        <bgColor indexed="64"/>
      </patternFill>
    </fill>
    <fill>
      <patternFill patternType="solid">
        <fgColor rgb="FFF0DEBA"/>
        <bgColor indexed="64"/>
      </patternFill>
    </fill>
    <fill>
      <patternFill patternType="solid">
        <fgColor rgb="FF96C7A3"/>
        <bgColor indexed="64"/>
      </patternFill>
    </fill>
    <fill>
      <patternFill patternType="solid">
        <fgColor rgb="FFFF5470"/>
        <bgColor indexed="64"/>
      </patternFill>
    </fill>
    <fill>
      <patternFill patternType="solid">
        <fgColor rgb="FFFC6B9E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5F9F9F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3299CC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426F4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CC3333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FF6EC7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B5A642"/>
        <bgColor indexed="64"/>
      </patternFill>
    </fill>
    <fill>
      <patternFill patternType="solid">
        <fgColor rgb="FFF0DECC"/>
        <bgColor indexed="64"/>
      </patternFill>
    </fill>
    <fill>
      <patternFill patternType="solid">
        <fgColor rgb="FF665C1F"/>
        <bgColor indexed="64"/>
      </patternFill>
    </fill>
    <fill>
      <patternFill patternType="solid">
        <fgColor rgb="FFE8D66B"/>
        <bgColor indexed="64"/>
      </patternFill>
    </fill>
    <fill>
      <patternFill patternType="solid">
        <fgColor rgb="FFFFFFFA"/>
        <bgColor indexed="64"/>
      </patternFill>
    </fill>
    <fill>
      <patternFill patternType="solid">
        <fgColor rgb="FF9C2642"/>
        <bgColor indexed="64"/>
      </patternFill>
    </fill>
    <fill>
      <patternFill patternType="solid">
        <fgColor rgb="FFBFB0B3"/>
        <bgColor indexed="64"/>
      </patternFill>
    </fill>
    <fill>
      <patternFill patternType="solid">
        <fgColor rgb="FF0087BD"/>
        <bgColor indexed="64"/>
      </patternFill>
    </fill>
    <fill>
      <patternFill patternType="solid">
        <fgColor rgb="FFDE5C82"/>
        <bgColor indexed="64"/>
      </patternFill>
    </fill>
    <fill>
      <patternFill patternType="solid">
        <fgColor rgb="FFB06E4D"/>
        <bgColor indexed="64"/>
      </patternFill>
    </fill>
    <fill>
      <patternFill patternType="solid">
        <fgColor rgb="FFBD33A3"/>
        <bgColor indexed="64"/>
      </patternFill>
    </fill>
    <fill>
      <patternFill patternType="solid">
        <fgColor rgb="FFD60040"/>
        <bgColor indexed="64"/>
      </patternFill>
    </fill>
    <fill>
      <patternFill patternType="solid">
        <fgColor rgb="FFDE3063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99827A"/>
        <bgColor indexed="64"/>
      </patternFill>
    </fill>
    <fill>
      <patternFill patternType="solid">
        <fgColor rgb="FF8C91AB"/>
        <bgColor indexed="64"/>
      </patternFill>
    </fill>
    <fill>
      <patternFill patternType="solid">
        <fgColor rgb="FF8A4045"/>
        <bgColor indexed="64"/>
      </patternFill>
    </fill>
    <fill>
      <patternFill patternType="solid">
        <fgColor rgb="FFDB143D"/>
        <bgColor indexed="64"/>
      </patternFill>
    </fill>
    <fill>
      <patternFill patternType="solid">
        <fgColor rgb="FF8C008C"/>
        <bgColor indexed="64"/>
      </patternFill>
    </fill>
    <fill>
      <patternFill patternType="solid">
        <fgColor rgb="FF8CBFD6"/>
        <bgColor indexed="64"/>
      </patternFill>
    </fill>
    <fill>
      <patternFill patternType="solid">
        <fgColor rgb="FF1461BD"/>
        <bgColor indexed="64"/>
      </patternFill>
    </fill>
    <fill>
      <patternFill patternType="solid">
        <fgColor rgb="FF8F00FF"/>
        <bgColor indexed="64"/>
      </patternFill>
    </fill>
    <fill>
      <patternFill patternType="solid">
        <fgColor rgb="FF218C21"/>
        <bgColor indexed="64"/>
      </patternFill>
    </fill>
    <fill>
      <patternFill patternType="solid">
        <fgColor rgb="FF87421F"/>
        <bgColor indexed="64"/>
      </patternFill>
    </fill>
    <fill>
      <patternFill patternType="solid">
        <fgColor rgb="FFAB381F"/>
        <bgColor indexed="64"/>
      </patternFill>
    </fill>
    <fill>
      <patternFill patternType="solid">
        <fgColor rgb="FFAB4A52"/>
        <bgColor indexed="64"/>
      </patternFill>
    </fill>
    <fill>
      <patternFill patternType="solid">
        <fgColor rgb="FFE836A6"/>
        <bgColor indexed="64"/>
      </patternFill>
    </fill>
    <fill>
      <patternFill patternType="solid">
        <fgColor rgb="FF8FBC8B"/>
        <bgColor indexed="64"/>
      </patternFill>
    </fill>
    <fill>
      <patternFill patternType="solid">
        <fgColor rgb="FF9EA81F"/>
        <bgColor indexed="64"/>
      </patternFill>
    </fill>
    <fill>
      <patternFill patternType="solid">
        <fgColor rgb="FF573D5C"/>
        <bgColor indexed="64"/>
      </patternFill>
    </fill>
    <fill>
      <patternFill patternType="solid">
        <fgColor rgb="FFC254C2"/>
        <bgColor indexed="64"/>
      </patternFill>
    </fill>
    <fill>
      <patternFill patternType="solid">
        <fgColor rgb="FFCC6E52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DE5285"/>
        <bgColor indexed="64"/>
      </patternFill>
    </fill>
    <fill>
      <patternFill patternType="solid">
        <fgColor rgb="FF2E2E87"/>
        <bgColor indexed="64"/>
      </patternFill>
    </fill>
    <fill>
      <patternFill patternType="solid">
        <fgColor rgb="FF4A636B"/>
        <bgColor indexed="64"/>
      </patternFill>
    </fill>
    <fill>
      <patternFill patternType="solid">
        <fgColor rgb="FF4F7842"/>
        <bgColor indexed="64"/>
      </patternFill>
    </fill>
    <fill>
      <patternFill patternType="solid">
        <fgColor rgb="FF59427D"/>
        <bgColor indexed="64"/>
      </patternFill>
    </fill>
    <fill>
      <patternFill patternType="solid">
        <fgColor rgb="FFE35921"/>
        <bgColor indexed="64"/>
      </patternFill>
    </fill>
    <fill>
      <patternFill patternType="solid">
        <fgColor rgb="FF1A2421"/>
        <bgColor indexed="64"/>
      </patternFill>
    </fill>
    <fill>
      <patternFill patternType="solid">
        <fgColor rgb="FFA3006E"/>
        <bgColor indexed="64"/>
      </patternFill>
    </fill>
    <fill>
      <patternFill patternType="solid">
        <fgColor rgb="FF8C0000"/>
        <bgColor indexed="64"/>
      </patternFill>
    </fill>
    <fill>
      <patternFill patternType="solid">
        <fgColor rgb="FF614052"/>
        <bgColor indexed="64"/>
      </patternFill>
    </fill>
    <fill>
      <patternFill patternType="solid">
        <fgColor rgb="FFFC4091"/>
        <bgColor indexed="64"/>
      </patternFill>
    </fill>
    <fill>
      <patternFill patternType="solid">
        <fgColor rgb="FFF7E8CF"/>
        <bgColor indexed="64"/>
      </patternFill>
    </fill>
    <fill>
      <patternFill patternType="solid">
        <fgColor rgb="FF8FBD8F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9EFC38"/>
        <bgColor indexed="64"/>
      </patternFill>
    </fill>
    <fill>
      <patternFill patternType="solid">
        <fgColor rgb="FF00CFD1"/>
        <bgColor indexed="64"/>
      </patternFill>
    </fill>
    <fill>
      <patternFill patternType="solid">
        <fgColor rgb="FFF1D650"/>
        <bgColor indexed="64"/>
      </patternFill>
    </fill>
    <fill>
      <patternFill patternType="solid">
        <fgColor rgb="FF7D8A85"/>
        <bgColor indexed="64"/>
      </patternFill>
    </fill>
    <fill>
      <patternFill patternType="solid">
        <fgColor rgb="FFF6A713"/>
        <bgColor indexed="64"/>
      </patternFill>
    </fill>
    <fill>
      <patternFill patternType="solid">
        <fgColor rgb="FFABABA9"/>
        <bgColor indexed="64"/>
      </patternFill>
    </fill>
    <fill>
      <patternFill patternType="solid">
        <fgColor rgb="FF4B5D69"/>
        <bgColor indexed="64"/>
      </patternFill>
    </fill>
    <fill>
      <patternFill patternType="solid">
        <fgColor rgb="FF3B5146"/>
        <bgColor indexed="64"/>
      </patternFill>
    </fill>
    <fill>
      <patternFill patternType="solid">
        <fgColor rgb="FFDBCEB2"/>
        <bgColor indexed="64"/>
      </patternFill>
    </fill>
    <fill>
      <patternFill patternType="solid">
        <fgColor rgb="FFC7B49A"/>
        <bgColor indexed="64"/>
      </patternFill>
    </fill>
    <fill>
      <patternFill patternType="solid">
        <fgColor rgb="FFD6D4C9"/>
        <bgColor indexed="64"/>
      </patternFill>
    </fill>
    <fill>
      <patternFill patternType="solid">
        <fgColor rgb="FF55544F"/>
        <bgColor indexed="64"/>
      </patternFill>
    </fill>
    <fill>
      <patternFill patternType="solid">
        <fgColor rgb="FF2A2B2B"/>
        <bgColor indexed="64"/>
      </patternFill>
    </fill>
    <fill>
      <patternFill patternType="solid">
        <fgColor rgb="FF365045"/>
        <bgColor indexed="64"/>
      </patternFill>
    </fill>
    <fill>
      <patternFill patternType="solid">
        <fgColor rgb="FFAAA398"/>
        <bgColor indexed="64"/>
      </patternFill>
    </fill>
    <fill>
      <patternFill patternType="solid">
        <fgColor rgb="FF4A4E55"/>
        <bgColor indexed="64"/>
      </patternFill>
    </fill>
    <fill>
      <patternFill patternType="solid">
        <fgColor rgb="FF424343"/>
        <bgColor indexed="64"/>
      </patternFill>
    </fill>
    <fill>
      <patternFill patternType="solid">
        <fgColor rgb="FFC2B198"/>
        <bgColor indexed="64"/>
      </patternFill>
    </fill>
    <fill>
      <patternFill patternType="solid">
        <fgColor rgb="FF918F8B"/>
        <bgColor indexed="64"/>
      </patternFill>
    </fill>
    <fill>
      <patternFill patternType="solid">
        <fgColor rgb="FFF9ECD6"/>
        <bgColor indexed="64"/>
      </patternFill>
    </fill>
    <fill>
      <patternFill patternType="solid">
        <fgColor rgb="FF92867C"/>
        <bgColor indexed="64"/>
      </patternFill>
    </fill>
    <fill>
      <patternFill patternType="solid">
        <fgColor rgb="FF979A9C"/>
        <bgColor indexed="64"/>
      </patternFill>
    </fill>
    <fill>
      <patternFill patternType="solid">
        <fgColor rgb="FFEECF41"/>
        <bgColor indexed="64"/>
      </patternFill>
    </fill>
    <fill>
      <patternFill patternType="solid">
        <fgColor rgb="FF2C2C2D"/>
        <bgColor indexed="64"/>
      </patternFill>
    </fill>
    <fill>
      <patternFill patternType="solid">
        <fgColor rgb="FFF0F4F2"/>
        <bgColor indexed="64"/>
      </patternFill>
    </fill>
    <fill>
      <patternFill patternType="solid">
        <fgColor rgb="FF625546"/>
        <bgColor indexed="64"/>
      </patternFill>
    </fill>
    <fill>
      <patternFill patternType="solid">
        <fgColor rgb="FF3A3D40"/>
        <bgColor indexed="64"/>
      </patternFill>
    </fill>
    <fill>
      <patternFill patternType="solid">
        <fgColor rgb="FFA6ABAE"/>
        <bgColor indexed="64"/>
      </patternFill>
    </fill>
    <fill>
      <patternFill patternType="solid">
        <fgColor rgb="FFA1A29E"/>
        <bgColor indexed="64"/>
      </patternFill>
    </fill>
    <fill>
      <patternFill patternType="solid">
        <fgColor rgb="FF969A99"/>
        <bgColor indexed="64"/>
      </patternFill>
    </fill>
    <fill>
      <patternFill patternType="solid">
        <fgColor rgb="FF554737"/>
        <bgColor indexed="64"/>
      </patternFill>
    </fill>
    <fill>
      <patternFill patternType="solid">
        <fgColor rgb="FF525659"/>
        <bgColor indexed="64"/>
      </patternFill>
    </fill>
    <fill>
      <patternFill patternType="solid">
        <fgColor rgb="FFC1BAA5"/>
        <bgColor indexed="64"/>
      </patternFill>
    </fill>
    <fill>
      <patternFill patternType="solid">
        <fgColor rgb="FFC5B29B"/>
        <bgColor indexed="64"/>
      </patternFill>
    </fill>
    <fill>
      <patternFill patternType="solid">
        <fgColor rgb="FFAFB0B0"/>
        <bgColor indexed="64"/>
      </patternFill>
    </fill>
    <fill>
      <patternFill patternType="solid">
        <fgColor rgb="FF534A3C"/>
        <bgColor indexed="64"/>
      </patternFill>
    </fill>
    <fill>
      <patternFill patternType="solid">
        <fgColor rgb="FF106D3A"/>
        <bgColor indexed="64"/>
      </patternFill>
    </fill>
    <fill>
      <patternFill patternType="solid">
        <fgColor rgb="FFF4F4EE"/>
        <bgColor indexed="64"/>
      </patternFill>
    </fill>
    <fill>
      <patternFill patternType="solid">
        <fgColor rgb="FF2B2B2C"/>
        <bgColor indexed="64"/>
      </patternFill>
    </fill>
    <fill>
      <patternFill patternType="solid">
        <fgColor rgb="FFD7C8B3"/>
        <bgColor indexed="64"/>
      </patternFill>
    </fill>
    <fill>
      <patternFill patternType="solid">
        <fgColor rgb="FFE1E9F3"/>
        <bgColor indexed="64"/>
      </patternFill>
    </fill>
    <fill>
      <patternFill patternType="solid">
        <fgColor rgb="FF2E3E37"/>
        <bgColor indexed="64"/>
      </patternFill>
    </fill>
    <fill>
      <patternFill patternType="solid">
        <fgColor rgb="FF693932"/>
        <bgColor indexed="64"/>
      </patternFill>
    </fill>
    <fill>
      <patternFill patternType="solid">
        <fgColor rgb="FFECF2F1"/>
        <bgColor indexed="64"/>
      </patternFill>
    </fill>
    <fill>
      <patternFill patternType="solid">
        <fgColor rgb="FFD5D5CC"/>
        <bgColor indexed="64"/>
      </patternFill>
    </fill>
    <fill>
      <patternFill patternType="solid">
        <fgColor rgb="FF52524E"/>
        <bgColor indexed="64"/>
      </patternFill>
    </fill>
    <fill>
      <patternFill patternType="solid">
        <fgColor rgb="FF3A5246"/>
        <bgColor indexed="64"/>
      </patternFill>
    </fill>
    <fill>
      <patternFill patternType="solid">
        <fgColor rgb="FFABA398"/>
        <bgColor indexed="64"/>
      </patternFill>
    </fill>
    <fill>
      <patternFill patternType="solid">
        <fgColor rgb="FF494C52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C5B49A"/>
        <bgColor indexed="64"/>
      </patternFill>
    </fill>
    <fill>
      <patternFill patternType="solid">
        <fgColor rgb="FFD5D5CD"/>
        <bgColor indexed="64"/>
      </patternFill>
    </fill>
    <fill>
      <patternFill patternType="solid">
        <fgColor rgb="FF7E8481"/>
        <bgColor indexed="64"/>
      </patternFill>
    </fill>
    <fill>
      <patternFill patternType="solid">
        <fgColor rgb="FF524A3E"/>
        <bgColor indexed="64"/>
      </patternFill>
    </fill>
    <fill>
      <patternFill patternType="solid">
        <fgColor rgb="FF9C9F9F"/>
        <bgColor indexed="64"/>
      </patternFill>
    </fill>
    <fill>
      <patternFill patternType="solid">
        <fgColor rgb="FF2769B8"/>
        <bgColor indexed="64"/>
      </patternFill>
    </fill>
    <fill>
      <patternFill patternType="solid">
        <fgColor rgb="FF3C3F43"/>
        <bgColor indexed="64"/>
      </patternFill>
    </fill>
    <fill>
      <patternFill patternType="solid">
        <fgColor rgb="FFA6A9A7"/>
        <bgColor indexed="64"/>
      </patternFill>
    </fill>
    <fill>
      <patternFill patternType="solid">
        <fgColor rgb="FFA3A7A9"/>
        <bgColor indexed="64"/>
      </patternFill>
    </fill>
    <fill>
      <patternFill patternType="solid">
        <fgColor rgb="FF888075"/>
        <bgColor indexed="64"/>
      </patternFill>
    </fill>
    <fill>
      <patternFill patternType="solid">
        <fgColor rgb="FFA9A092"/>
        <bgColor indexed="64"/>
      </patternFill>
    </fill>
    <fill>
      <patternFill patternType="solid">
        <fgColor rgb="FF909293"/>
        <bgColor indexed="64"/>
      </patternFill>
    </fill>
    <fill>
      <patternFill patternType="solid">
        <fgColor rgb="FF454647"/>
        <bgColor indexed="64"/>
      </patternFill>
    </fill>
    <fill>
      <patternFill patternType="solid">
        <fgColor rgb="FF4D5153"/>
        <bgColor indexed="64"/>
      </patternFill>
    </fill>
    <fill>
      <patternFill patternType="solid">
        <fgColor rgb="FF2D2E2F"/>
        <bgColor indexed="64"/>
      </patternFill>
    </fill>
    <fill>
      <patternFill patternType="solid">
        <fgColor rgb="FF7C8983"/>
        <bgColor indexed="64"/>
      </patternFill>
    </fill>
    <fill>
      <patternFill patternType="solid">
        <fgColor rgb="FFF3F5F1"/>
        <bgColor indexed="64"/>
      </patternFill>
    </fill>
    <fill>
      <patternFill patternType="solid">
        <fgColor rgb="FF006CB1"/>
        <bgColor indexed="64"/>
      </patternFill>
    </fill>
    <fill>
      <patternFill patternType="solid">
        <fgColor rgb="FF2D3B50"/>
        <bgColor indexed="64"/>
      </patternFill>
    </fill>
    <fill>
      <patternFill patternType="solid">
        <fgColor rgb="FFF5A71B"/>
        <bgColor indexed="64"/>
      </patternFill>
    </fill>
    <fill>
      <patternFill patternType="solid">
        <fgColor rgb="FFA0A5A7"/>
        <bgColor indexed="64"/>
      </patternFill>
    </fill>
    <fill>
      <patternFill patternType="solid">
        <fgColor rgb="FFEBE1CE"/>
        <bgColor indexed="64"/>
      </patternFill>
    </fill>
    <fill>
      <patternFill patternType="solid">
        <fgColor rgb="FFF3E7C8"/>
        <bgColor indexed="64"/>
      </patternFill>
    </fill>
    <fill>
      <patternFill patternType="solid">
        <fgColor rgb="FF3D4955"/>
        <bgColor indexed="64"/>
      </patternFill>
    </fill>
    <fill>
      <patternFill patternType="solid">
        <fgColor rgb="FF444443"/>
        <bgColor indexed="64"/>
      </patternFill>
    </fill>
    <fill>
      <patternFill patternType="solid">
        <fgColor rgb="FFEBD9B3"/>
        <bgColor indexed="64"/>
      </patternFill>
    </fill>
    <fill>
      <patternFill patternType="solid">
        <fgColor rgb="FF51493F"/>
        <bgColor indexed="64"/>
      </patternFill>
    </fill>
    <fill>
      <patternFill patternType="solid">
        <fgColor rgb="FF3A4145"/>
        <bgColor indexed="64"/>
      </patternFill>
    </fill>
    <fill>
      <patternFill patternType="solid">
        <fgColor rgb="FF2D2E2E"/>
        <bgColor indexed="64"/>
      </patternFill>
    </fill>
    <fill>
      <patternFill patternType="solid">
        <fgColor rgb="FF90886F"/>
        <bgColor indexed="64"/>
      </patternFill>
    </fill>
    <fill>
      <patternFill patternType="solid">
        <fgColor rgb="FFBCB7A3"/>
        <bgColor indexed="64"/>
      </patternFill>
    </fill>
    <fill>
      <patternFill patternType="solid">
        <fgColor rgb="FF675C51"/>
        <bgColor indexed="64"/>
      </patternFill>
    </fill>
    <fill>
      <patternFill patternType="solid">
        <fgColor rgb="FF5E6265"/>
        <bgColor indexed="64"/>
      </patternFill>
    </fill>
    <fill>
      <patternFill patternType="solid">
        <fgColor rgb="FFEFF3F2"/>
        <bgColor indexed="64"/>
      </patternFill>
    </fill>
    <fill>
      <patternFill patternType="solid">
        <fgColor rgb="FFCFCEC5"/>
        <bgColor indexed="64"/>
      </patternFill>
    </fill>
    <fill>
      <patternFill patternType="solid">
        <fgColor rgb="FF7F8482"/>
        <bgColor indexed="64"/>
      </patternFill>
    </fill>
    <fill>
      <patternFill patternType="solid">
        <fgColor rgb="FFA8ABA8"/>
        <bgColor indexed="64"/>
      </patternFill>
    </fill>
    <fill>
      <patternFill patternType="solid">
        <fgColor rgb="FF595B58"/>
        <bgColor indexed="64"/>
      </patternFill>
    </fill>
    <fill>
      <patternFill patternType="solid">
        <fgColor rgb="FF2A334F"/>
        <bgColor indexed="64"/>
      </patternFill>
    </fill>
    <fill>
      <patternFill patternType="solid">
        <fgColor rgb="FF3B4044"/>
        <bgColor indexed="64"/>
      </patternFill>
    </fill>
    <fill>
      <patternFill patternType="solid">
        <fgColor rgb="FF67767D"/>
        <bgColor indexed="64"/>
      </patternFill>
    </fill>
    <fill>
      <patternFill patternType="solid">
        <fgColor rgb="FF766E63"/>
        <bgColor indexed="64"/>
      </patternFill>
    </fill>
    <fill>
      <patternFill patternType="solid">
        <fgColor rgb="FF919597"/>
        <bgColor indexed="64"/>
      </patternFill>
    </fill>
    <fill>
      <patternFill patternType="solid">
        <fgColor rgb="FF998053"/>
        <bgColor indexed="64"/>
      </patternFill>
    </fill>
    <fill>
      <patternFill patternType="solid">
        <fgColor rgb="FF3D3E40"/>
        <bgColor indexed="64"/>
      </patternFill>
    </fill>
    <fill>
      <patternFill patternType="solid">
        <fgColor rgb="FF575C5D"/>
        <bgColor indexed="64"/>
      </patternFill>
    </fill>
    <fill>
      <patternFill patternType="solid">
        <fgColor rgb="FF85898A"/>
        <bgColor indexed="64"/>
      </patternFill>
    </fill>
    <fill>
      <patternFill patternType="solid">
        <fgColor rgb="FF323334"/>
        <bgColor indexed="64"/>
      </patternFill>
    </fill>
    <fill>
      <patternFill patternType="solid">
        <fgColor rgb="FF9C9E9A"/>
        <bgColor indexed="64"/>
      </patternFill>
    </fill>
    <fill>
      <patternFill patternType="solid">
        <fgColor rgb="FF2C2D2E"/>
        <bgColor indexed="64"/>
      </patternFill>
    </fill>
    <fill>
      <patternFill patternType="solid">
        <fgColor rgb="FFACADAC"/>
        <bgColor indexed="64"/>
      </patternFill>
    </fill>
    <fill>
      <patternFill patternType="solid">
        <fgColor rgb="FFA1A3A4"/>
        <bgColor indexed="64"/>
      </patternFill>
    </fill>
    <fill>
      <patternFill patternType="solid">
        <fgColor rgb="FFE26B2D"/>
        <bgColor indexed="64"/>
      </patternFill>
    </fill>
    <fill>
      <patternFill patternType="solid">
        <fgColor rgb="FF006AB2"/>
        <bgColor indexed="64"/>
      </patternFill>
    </fill>
    <fill>
      <patternFill patternType="solid">
        <fgColor rgb="FF2F4239"/>
        <bgColor indexed="64"/>
      </patternFill>
    </fill>
    <fill>
      <patternFill patternType="solid">
        <fgColor rgb="FF4F5256"/>
        <bgColor indexed="64"/>
      </patternFill>
    </fill>
    <fill>
      <patternFill patternType="solid">
        <fgColor rgb="FF383B3E"/>
        <bgColor indexed="64"/>
      </patternFill>
    </fill>
    <fill>
      <patternFill patternType="solid">
        <fgColor rgb="FFACA499"/>
        <bgColor indexed="64"/>
      </patternFill>
    </fill>
    <fill>
      <patternFill patternType="solid">
        <fgColor rgb="FFD9CEBE"/>
        <bgColor indexed="64"/>
      </patternFill>
    </fill>
    <fill>
      <patternFill patternType="solid">
        <fgColor rgb="FF5A7990"/>
        <bgColor indexed="64"/>
      </patternFill>
    </fill>
    <fill>
      <patternFill patternType="solid">
        <fgColor rgb="FFE1DAC7"/>
        <bgColor indexed="64"/>
      </patternFill>
    </fill>
    <fill>
      <patternFill patternType="solid">
        <fgColor rgb="FFE1E9F0"/>
        <bgColor indexed="64"/>
      </patternFill>
    </fill>
    <fill>
      <patternFill patternType="solid">
        <fgColor rgb="FF91886F"/>
        <bgColor indexed="64"/>
      </patternFill>
    </fill>
    <fill>
      <patternFill patternType="solid">
        <fgColor rgb="FFBDB7A3"/>
        <bgColor indexed="64"/>
      </patternFill>
    </fill>
    <fill>
      <patternFill patternType="solid">
        <fgColor rgb="FF665D52"/>
        <bgColor indexed="64"/>
      </patternFill>
    </fill>
    <fill>
      <patternFill patternType="solid">
        <fgColor rgb="FFD9D9CD"/>
        <bgColor indexed="64"/>
      </patternFill>
    </fill>
    <fill>
      <patternFill patternType="solid">
        <fgColor rgb="FFEDDBB5"/>
        <bgColor indexed="64"/>
      </patternFill>
    </fill>
    <fill>
      <patternFill patternType="solid">
        <fgColor rgb="FF644133"/>
        <bgColor indexed="64"/>
      </patternFill>
    </fill>
    <fill>
      <patternFill patternType="solid">
        <fgColor rgb="FF52524D"/>
        <bgColor indexed="64"/>
      </patternFill>
    </fill>
    <fill>
      <patternFill patternType="solid">
        <fgColor rgb="FF373637"/>
        <bgColor indexed="64"/>
      </patternFill>
    </fill>
    <fill>
      <patternFill patternType="solid">
        <fgColor rgb="FF0D5E86"/>
        <bgColor indexed="64"/>
      </patternFill>
    </fill>
    <fill>
      <patternFill patternType="solid">
        <fgColor rgb="FFE65A23"/>
        <bgColor indexed="64"/>
      </patternFill>
    </fill>
    <fill>
      <patternFill patternType="solid">
        <fgColor rgb="FF6C6F72"/>
        <bgColor indexed="64"/>
      </patternFill>
    </fill>
    <fill>
      <patternFill patternType="solid">
        <fgColor rgb="FF543F3B"/>
        <bgColor indexed="64"/>
      </patternFill>
    </fill>
    <fill>
      <patternFill patternType="solid">
        <fgColor rgb="FF91887D"/>
        <bgColor indexed="64"/>
      </patternFill>
    </fill>
    <fill>
      <patternFill patternType="solid">
        <fgColor rgb="FFE7E8DF"/>
        <bgColor indexed="64"/>
      </patternFill>
    </fill>
    <fill>
      <patternFill patternType="solid">
        <fgColor rgb="FF565551"/>
        <bgColor indexed="64"/>
      </patternFill>
    </fill>
    <fill>
      <patternFill patternType="solid">
        <fgColor rgb="FF9CA0A1"/>
        <bgColor indexed="64"/>
      </patternFill>
    </fill>
    <fill>
      <patternFill patternType="solid">
        <fgColor rgb="FF7C7873"/>
        <bgColor indexed="64"/>
      </patternFill>
    </fill>
    <fill>
      <patternFill patternType="solid">
        <fgColor rgb="FF55585B"/>
        <bgColor indexed="64"/>
      </patternFill>
    </fill>
    <fill>
      <patternFill patternType="solid">
        <fgColor rgb="FF303031"/>
        <bgColor indexed="64"/>
      </patternFill>
    </fill>
    <fill>
      <patternFill patternType="solid">
        <fgColor rgb="FFC4BFB5"/>
        <bgColor indexed="64"/>
      </patternFill>
    </fill>
    <fill>
      <patternFill patternType="solid">
        <fgColor rgb="FFC5BEAD"/>
        <bgColor indexed="64"/>
      </patternFill>
    </fill>
    <fill>
      <patternFill patternType="solid">
        <fgColor rgb="FF3C3E41"/>
        <bgColor indexed="64"/>
      </patternFill>
    </fill>
    <fill>
      <patternFill patternType="solid">
        <fgColor rgb="FF936548"/>
        <bgColor indexed="64"/>
      </patternFill>
    </fill>
    <fill>
      <patternFill patternType="solid">
        <fgColor rgb="FF1F4E81"/>
        <bgColor indexed="64"/>
      </patternFill>
    </fill>
    <fill>
      <patternFill patternType="solid">
        <fgColor rgb="FF0D6938"/>
        <bgColor indexed="64"/>
      </patternFill>
    </fill>
    <fill>
      <patternFill patternType="solid">
        <fgColor rgb="FFF6F8F5"/>
        <bgColor indexed="64"/>
      </patternFill>
    </fill>
    <fill>
      <patternFill patternType="solid">
        <fgColor rgb="FF2D2D2E"/>
        <bgColor indexed="64"/>
      </patternFill>
    </fill>
    <fill>
      <patternFill patternType="solid">
        <fgColor rgb="FF373B3E"/>
        <bgColor indexed="64"/>
      </patternFill>
    </fill>
    <fill>
      <patternFill patternType="solid">
        <fgColor rgb="FF5F6365"/>
        <bgColor indexed="64"/>
      </patternFill>
    </fill>
    <fill>
      <patternFill patternType="solid">
        <fgColor rgb="FF9F8E7D"/>
        <bgColor indexed="64"/>
      </patternFill>
    </fill>
    <fill>
      <patternFill patternType="solid">
        <fgColor rgb="FFF2F4EF"/>
        <bgColor indexed="64"/>
      </patternFill>
    </fill>
    <fill>
      <patternFill patternType="solid">
        <fgColor rgb="FF2F3D36"/>
        <bgColor indexed="64"/>
      </patternFill>
    </fill>
    <fill>
      <patternFill patternType="solid">
        <fgColor rgb="FFBEB9A5"/>
        <bgColor indexed="64"/>
      </patternFill>
    </fill>
    <fill>
      <patternFill patternType="solid">
        <fgColor rgb="FF646554"/>
        <bgColor indexed="64"/>
      </patternFill>
    </fill>
    <fill>
      <patternFill patternType="solid">
        <fgColor rgb="FF6A6D70"/>
        <bgColor indexed="64"/>
      </patternFill>
    </fill>
    <fill>
      <patternFill patternType="solid">
        <fgColor rgb="FFB3B5AF"/>
        <bgColor indexed="64"/>
      </patternFill>
    </fill>
    <fill>
      <patternFill patternType="solid">
        <fgColor rgb="FF654132"/>
        <bgColor indexed="64"/>
      </patternFill>
    </fill>
    <fill>
      <patternFill patternType="solid">
        <fgColor rgb="FF52514C"/>
        <bgColor indexed="64"/>
      </patternFill>
    </fill>
    <fill>
      <patternFill patternType="solid">
        <fgColor rgb="FFACB0B3"/>
        <bgColor indexed="64"/>
      </patternFill>
    </fill>
    <fill>
      <patternFill patternType="solid">
        <fgColor rgb="FF8B392E"/>
        <bgColor indexed="64"/>
      </patternFill>
    </fill>
    <fill>
      <patternFill patternType="solid">
        <fgColor rgb="FFE7AB36"/>
        <bgColor indexed="64"/>
      </patternFill>
    </fill>
    <fill>
      <patternFill patternType="solid">
        <fgColor rgb="FF3B3530"/>
        <bgColor indexed="64"/>
      </patternFill>
    </fill>
    <fill>
      <patternFill patternType="solid">
        <fgColor rgb="FFACC0C9"/>
        <bgColor indexed="64"/>
      </patternFill>
    </fill>
    <fill>
      <patternFill patternType="solid">
        <fgColor rgb="FF4F606B"/>
        <bgColor indexed="64"/>
      </patternFill>
    </fill>
    <fill>
      <patternFill patternType="solid">
        <fgColor rgb="FF4A4745"/>
        <bgColor indexed="64"/>
      </patternFill>
    </fill>
    <fill>
      <patternFill patternType="solid">
        <fgColor rgb="FF797D7D"/>
        <bgColor indexed="64"/>
      </patternFill>
    </fill>
    <fill>
      <patternFill patternType="solid">
        <fgColor rgb="FF4A4846"/>
        <bgColor indexed="64"/>
      </patternFill>
    </fill>
    <fill>
      <patternFill patternType="solid">
        <fgColor rgb="FF7C8083"/>
        <bgColor indexed="64"/>
      </patternFill>
    </fill>
    <fill>
      <patternFill patternType="solid">
        <fgColor rgb="FF294A62"/>
        <bgColor indexed="64"/>
      </patternFill>
    </fill>
    <fill>
      <patternFill patternType="solid">
        <fgColor rgb="FFF0F2ED"/>
        <bgColor indexed="64"/>
      </patternFill>
    </fill>
    <fill>
      <patternFill patternType="solid">
        <fgColor rgb="FFAE372C"/>
        <bgColor indexed="64"/>
      </patternFill>
    </fill>
    <fill>
      <patternFill patternType="solid">
        <fgColor rgb="FF7C8181"/>
        <bgColor indexed="64"/>
      </patternFill>
    </fill>
    <fill>
      <patternFill patternType="solid">
        <fgColor rgb="FFE4DFD6"/>
        <bgColor indexed="64"/>
      </patternFill>
    </fill>
    <fill>
      <patternFill patternType="solid">
        <fgColor rgb="FF513A70"/>
        <bgColor indexed="64"/>
      </patternFill>
    </fill>
    <fill>
      <patternFill patternType="solid">
        <fgColor rgb="FFF1A024"/>
        <bgColor indexed="64"/>
      </patternFill>
    </fill>
    <fill>
      <patternFill patternType="solid">
        <fgColor rgb="FFE2672A"/>
        <bgColor indexed="64"/>
      </patternFill>
    </fill>
    <fill>
      <patternFill patternType="solid">
        <fgColor rgb="FF3D4449"/>
        <bgColor indexed="64"/>
      </patternFill>
    </fill>
    <fill>
      <patternFill patternType="solid">
        <fgColor rgb="FFE2D0AD"/>
        <bgColor indexed="64"/>
      </patternFill>
    </fill>
    <fill>
      <patternFill patternType="solid">
        <fgColor rgb="FF4A4E54"/>
        <bgColor indexed="64"/>
      </patternFill>
    </fill>
    <fill>
      <patternFill patternType="solid">
        <fgColor rgb="FFD7D7CB"/>
        <bgColor indexed="64"/>
      </patternFill>
    </fill>
    <fill>
      <patternFill patternType="solid">
        <fgColor rgb="FFB1B3AF"/>
        <bgColor indexed="64"/>
      </patternFill>
    </fill>
    <fill>
      <patternFill patternType="solid">
        <fgColor rgb="FFF5ECD8"/>
        <bgColor indexed="64"/>
      </patternFill>
    </fill>
    <fill>
      <patternFill patternType="solid">
        <fgColor rgb="FF5B5D5D"/>
        <bgColor indexed="64"/>
      </patternFill>
    </fill>
    <fill>
      <patternFill patternType="solid">
        <fgColor rgb="FFE3D2B0"/>
        <bgColor indexed="64"/>
      </patternFill>
    </fill>
    <fill>
      <patternFill patternType="solid">
        <fgColor rgb="FF3D4954"/>
        <bgColor indexed="64"/>
      </patternFill>
    </fill>
    <fill>
      <patternFill patternType="solid">
        <fgColor rgb="FF756F64"/>
        <bgColor indexed="64"/>
      </patternFill>
    </fill>
    <fill>
      <patternFill patternType="solid">
        <fgColor rgb="FF676756"/>
        <bgColor indexed="64"/>
      </patternFill>
    </fill>
    <fill>
      <patternFill patternType="solid">
        <fgColor rgb="FFBEC0B9"/>
        <bgColor indexed="64"/>
      </patternFill>
    </fill>
    <fill>
      <patternFill patternType="solid">
        <fgColor rgb="FFECE1CD"/>
        <bgColor indexed="64"/>
      </patternFill>
    </fill>
    <fill>
      <patternFill patternType="solid">
        <fgColor rgb="FF6D6B67"/>
        <bgColor indexed="64"/>
      </patternFill>
    </fill>
    <fill>
      <patternFill patternType="solid">
        <fgColor rgb="FFF0F4EF"/>
        <bgColor indexed="64"/>
      </patternFill>
    </fill>
    <fill>
      <patternFill patternType="solid">
        <fgColor rgb="FFDEDBCF"/>
        <bgColor indexed="64"/>
      </patternFill>
    </fill>
    <fill>
      <patternFill patternType="solid">
        <fgColor rgb="FF26603E"/>
        <bgColor indexed="64"/>
      </patternFill>
    </fill>
    <fill>
      <patternFill patternType="solid">
        <fgColor rgb="FFCBC8BD"/>
        <bgColor indexed="64"/>
      </patternFill>
    </fill>
    <fill>
      <patternFill patternType="solid">
        <fgColor rgb="FFE3E1D8"/>
        <bgColor indexed="64"/>
      </patternFill>
    </fill>
    <fill>
      <patternFill patternType="solid">
        <fgColor rgb="FFEBEEED"/>
        <bgColor indexed="64"/>
      </patternFill>
    </fill>
    <fill>
      <patternFill patternType="solid">
        <fgColor rgb="FF7B7D7E"/>
        <bgColor indexed="64"/>
      </patternFill>
    </fill>
    <fill>
      <patternFill patternType="solid">
        <fgColor rgb="FF493F33"/>
        <bgColor indexed="64"/>
      </patternFill>
    </fill>
    <fill>
      <patternFill patternType="solid">
        <fgColor rgb="FFA5ABAE"/>
        <bgColor indexed="64"/>
      </patternFill>
    </fill>
    <fill>
      <patternFill patternType="solid">
        <fgColor rgb="FFA19E98"/>
        <bgColor indexed="64"/>
      </patternFill>
    </fill>
    <fill>
      <patternFill patternType="solid">
        <fgColor rgb="FF595A57"/>
        <bgColor indexed="64"/>
      </patternFill>
    </fill>
    <fill>
      <patternFill patternType="solid">
        <fgColor rgb="FF5C6063"/>
        <bgColor indexed="64"/>
      </patternFill>
    </fill>
    <fill>
      <patternFill patternType="solid">
        <fgColor rgb="FF2C3972"/>
        <bgColor indexed="64"/>
      </patternFill>
    </fill>
    <fill>
      <patternFill patternType="solid">
        <fgColor rgb="FF908E8A"/>
        <bgColor indexed="64"/>
      </patternFill>
    </fill>
    <fill>
      <patternFill patternType="solid">
        <fgColor rgb="FF4F5257"/>
        <bgColor indexed="64"/>
      </patternFill>
    </fill>
    <fill>
      <patternFill patternType="solid">
        <fgColor rgb="FFC3AA80"/>
        <bgColor indexed="64"/>
      </patternFill>
    </fill>
    <fill>
      <patternFill patternType="solid">
        <fgColor rgb="FF6A3831"/>
        <bgColor indexed="64"/>
      </patternFill>
    </fill>
    <fill>
      <patternFill patternType="solid">
        <fgColor rgb="FFC2AA8D"/>
        <bgColor indexed="64"/>
      </patternFill>
    </fill>
    <fill>
      <patternFill patternType="solid">
        <fgColor rgb="FFEFEAD9"/>
        <bgColor indexed="64"/>
      </patternFill>
    </fill>
    <fill>
      <patternFill patternType="solid">
        <fgColor rgb="FFE5E2D8"/>
        <bgColor indexed="64"/>
      </patternFill>
    </fill>
    <fill>
      <patternFill patternType="solid">
        <fgColor rgb="FF606964"/>
        <bgColor indexed="64"/>
      </patternFill>
    </fill>
    <fill>
      <patternFill patternType="solid">
        <fgColor rgb="FF404041"/>
        <bgColor indexed="64"/>
      </patternFill>
    </fill>
    <fill>
      <patternFill patternType="solid">
        <fgColor rgb="FFEFEEE5"/>
        <bgColor indexed="64"/>
      </patternFill>
    </fill>
    <fill>
      <patternFill patternType="solid">
        <fgColor rgb="FF98292C"/>
        <bgColor indexed="64"/>
      </patternFill>
    </fill>
    <fill>
      <patternFill patternType="solid">
        <fgColor rgb="FFAC362C"/>
        <bgColor indexed="64"/>
      </patternFill>
    </fill>
    <fill>
      <patternFill patternType="solid">
        <fgColor rgb="FFF1A121"/>
        <bgColor indexed="64"/>
      </patternFill>
    </fill>
    <fill>
      <patternFill patternType="solid">
        <fgColor rgb="FF423933"/>
        <bgColor indexed="64"/>
      </patternFill>
    </fill>
    <fill>
      <patternFill patternType="solid">
        <fgColor rgb="FF2D4338"/>
        <bgColor indexed="64"/>
      </patternFill>
    </fill>
    <fill>
      <patternFill patternType="solid">
        <fgColor rgb="FF685D52"/>
        <bgColor indexed="64"/>
      </patternFill>
    </fill>
    <fill>
      <patternFill patternType="solid">
        <fgColor rgb="FF6E7274"/>
        <bgColor indexed="64"/>
      </patternFill>
    </fill>
    <fill>
      <patternFill patternType="solid">
        <fgColor rgb="FFE2DDD4"/>
        <bgColor indexed="64"/>
      </patternFill>
    </fill>
    <fill>
      <patternFill patternType="solid">
        <fgColor rgb="FF627062"/>
        <bgColor indexed="64"/>
      </patternFill>
    </fill>
    <fill>
      <patternFill patternType="solid">
        <fgColor rgb="FF5B5C5D"/>
        <bgColor indexed="64"/>
      </patternFill>
    </fill>
    <fill>
      <patternFill patternType="solid">
        <fgColor rgb="FFE1D1B0"/>
        <bgColor indexed="64"/>
      </patternFill>
    </fill>
    <fill>
      <patternFill patternType="solid">
        <fgColor rgb="FF767065"/>
        <bgColor indexed="64"/>
      </patternFill>
    </fill>
    <fill>
      <patternFill patternType="solid">
        <fgColor rgb="FF693832"/>
        <bgColor indexed="64"/>
      </patternFill>
    </fill>
    <fill>
      <patternFill patternType="solid">
        <fgColor rgb="FF78816A"/>
        <bgColor indexed="64"/>
      </patternFill>
    </fill>
    <fill>
      <patternFill patternType="solid">
        <fgColor rgb="FFE1DDD4"/>
        <bgColor indexed="64"/>
      </patternFill>
    </fill>
    <fill>
      <patternFill patternType="solid">
        <fgColor rgb="FF6C6965"/>
        <bgColor indexed="64"/>
      </patternFill>
    </fill>
    <fill>
      <patternFill patternType="solid">
        <fgColor rgb="FFE0E7EB"/>
        <bgColor indexed="64"/>
      </patternFill>
    </fill>
    <fill>
      <patternFill patternType="solid">
        <fgColor rgb="FFA59E92"/>
        <bgColor indexed="64"/>
      </patternFill>
    </fill>
    <fill>
      <patternFill patternType="solid">
        <fgColor rgb="FFB42C29"/>
        <bgColor indexed="64"/>
      </patternFill>
    </fill>
    <fill>
      <patternFill patternType="solid">
        <fgColor rgb="FF9D978E"/>
        <bgColor indexed="64"/>
      </patternFill>
    </fill>
    <fill>
      <patternFill patternType="solid">
        <fgColor rgb="FFADB1B2"/>
        <bgColor indexed="64"/>
      </patternFill>
    </fill>
    <fill>
      <patternFill patternType="solid">
        <fgColor rgb="FF8A795E"/>
        <bgColor indexed="64"/>
      </patternFill>
    </fill>
    <fill>
      <patternFill patternType="solid">
        <fgColor rgb="FF2A2A2B"/>
        <bgColor indexed="64"/>
      </patternFill>
    </fill>
    <fill>
      <patternFill patternType="solid">
        <fgColor rgb="FF8C8478"/>
        <bgColor indexed="64"/>
      </patternFill>
    </fill>
    <fill>
      <patternFill patternType="solid">
        <fgColor rgb="FF5D5F5D"/>
        <bgColor indexed="64"/>
      </patternFill>
    </fill>
    <fill>
      <patternFill patternType="solid">
        <fgColor rgb="FF583838"/>
        <bgColor indexed="64"/>
      </patternFill>
    </fill>
    <fill>
      <patternFill patternType="solid">
        <fgColor rgb="FFA4A9AB"/>
        <bgColor indexed="64"/>
      </patternFill>
    </fill>
    <fill>
      <patternFill patternType="solid">
        <fgColor rgb="FFA5A9AB"/>
        <bgColor indexed="64"/>
      </patternFill>
    </fill>
    <fill>
      <patternFill patternType="solid">
        <fgColor rgb="FF6E7173"/>
        <bgColor indexed="64"/>
      </patternFill>
    </fill>
    <fill>
      <patternFill patternType="solid">
        <fgColor rgb="FF493D3B"/>
        <bgColor indexed="64"/>
      </patternFill>
    </fill>
    <fill>
      <patternFill patternType="solid">
        <fgColor rgb="FF2E53A1"/>
        <bgColor indexed="64"/>
      </patternFill>
    </fill>
    <fill>
      <patternFill patternType="solid">
        <fgColor rgb="FFBFC0BB"/>
        <bgColor indexed="64"/>
      </patternFill>
    </fill>
    <fill>
      <patternFill patternType="solid">
        <fgColor rgb="FF7F8481"/>
        <bgColor indexed="64"/>
      </patternFill>
    </fill>
    <fill>
      <patternFill patternType="solid">
        <fgColor rgb="FFF2F5F1"/>
        <bgColor indexed="64"/>
      </patternFill>
    </fill>
    <fill>
      <patternFill patternType="solid">
        <fgColor rgb="FF483C39"/>
        <bgColor indexed="64"/>
      </patternFill>
    </fill>
    <fill>
      <patternFill patternType="solid">
        <fgColor rgb="FF777E6A"/>
        <bgColor indexed="64"/>
      </patternFill>
    </fill>
    <fill>
      <patternFill patternType="solid">
        <fgColor rgb="FF4B8941"/>
        <bgColor indexed="64"/>
      </patternFill>
    </fill>
    <fill>
      <patternFill patternType="solid">
        <fgColor rgb="FF545450"/>
        <bgColor indexed="64"/>
      </patternFill>
    </fill>
    <fill>
      <patternFill patternType="solid">
        <fgColor rgb="FFA19E99"/>
        <bgColor indexed="64"/>
      </patternFill>
    </fill>
    <fill>
      <patternFill patternType="solid">
        <fgColor rgb="FF9FA2A2"/>
        <bgColor indexed="64"/>
      </patternFill>
    </fill>
    <fill>
      <patternFill patternType="solid">
        <fgColor rgb="FF909190"/>
        <bgColor indexed="64"/>
      </patternFill>
    </fill>
    <fill>
      <patternFill patternType="solid">
        <fgColor rgb="FF535B23"/>
        <bgColor indexed="64"/>
      </patternFill>
    </fill>
    <fill>
      <patternFill patternType="solid">
        <fgColor rgb="FF790529"/>
        <bgColor indexed="64"/>
      </patternFill>
    </fill>
    <fill>
      <patternFill patternType="solid">
        <fgColor rgb="FF6A710D"/>
        <bgColor indexed="64"/>
      </patternFill>
    </fill>
    <fill>
      <patternFill patternType="solid">
        <fgColor rgb="FF235B52"/>
        <bgColor indexed="64"/>
      </patternFill>
    </fill>
    <fill>
      <patternFill patternType="solid">
        <fgColor rgb="FF2C215D"/>
        <bgColor indexed="64"/>
      </patternFill>
    </fill>
    <fill>
      <patternFill patternType="solid">
        <fgColor rgb="FF1F5F2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17">
    <xf numFmtId="0" fontId="0" fillId="0" borderId="0" xfId="0"/>
    <xf numFmtId="1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11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" fontId="0" fillId="2" borderId="0" xfId="0" applyNumberFormat="1" applyFill="1"/>
    <xf numFmtId="10" fontId="0" fillId="0" borderId="0" xfId="0" applyNumberFormat="1"/>
    <xf numFmtId="1" fontId="0" fillId="3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" fontId="0" fillId="6" borderId="0" xfId="0" applyNumberFormat="1" applyFill="1"/>
    <xf numFmtId="1" fontId="0" fillId="7" borderId="0" xfId="0" applyNumberFormat="1" applyFill="1"/>
    <xf numFmtId="1" fontId="0" fillId="8" borderId="0" xfId="0" applyNumberFormat="1" applyFill="1"/>
    <xf numFmtId="1" fontId="0" fillId="9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0" fillId="12" borderId="0" xfId="0" applyNumberFormat="1" applyFill="1"/>
    <xf numFmtId="1" fontId="0" fillId="13" borderId="0" xfId="0" applyNumberFormat="1" applyFill="1"/>
    <xf numFmtId="1" fontId="0" fillId="14" borderId="0" xfId="0" applyNumberFormat="1" applyFill="1"/>
    <xf numFmtId="1" fontId="0" fillId="15" borderId="0" xfId="0" applyNumberFormat="1" applyFill="1"/>
    <xf numFmtId="1" fontId="0" fillId="16" borderId="0" xfId="0" applyNumberFormat="1" applyFill="1"/>
    <xf numFmtId="1" fontId="0" fillId="17" borderId="0" xfId="0" applyNumberFormat="1" applyFill="1"/>
    <xf numFmtId="1" fontId="0" fillId="18" borderId="0" xfId="0" applyNumberFormat="1" applyFill="1"/>
    <xf numFmtId="1" fontId="0" fillId="19" borderId="0" xfId="0" applyNumberFormat="1" applyFill="1"/>
    <xf numFmtId="1" fontId="0" fillId="20" borderId="0" xfId="0" applyNumberFormat="1" applyFill="1"/>
    <xf numFmtId="1" fontId="0" fillId="21" borderId="0" xfId="0" applyNumberFormat="1" applyFill="1"/>
    <xf numFmtId="1" fontId="0" fillId="22" borderId="0" xfId="0" applyNumberFormat="1" applyFill="1"/>
    <xf numFmtId="1" fontId="0" fillId="23" borderId="0" xfId="0" applyNumberFormat="1" applyFill="1"/>
    <xf numFmtId="1" fontId="0" fillId="24" borderId="0" xfId="0" applyNumberFormat="1" applyFill="1"/>
    <xf numFmtId="1" fontId="0" fillId="25" borderId="0" xfId="0" applyNumberFormat="1" applyFill="1"/>
    <xf numFmtId="1" fontId="0" fillId="26" borderId="0" xfId="0" applyNumberFormat="1" applyFill="1"/>
    <xf numFmtId="1" fontId="0" fillId="27" borderId="0" xfId="0" applyNumberFormat="1" applyFill="1"/>
    <xf numFmtId="1" fontId="0" fillId="28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1" fontId="0" fillId="31" borderId="0" xfId="0" applyNumberFormat="1" applyFill="1"/>
    <xf numFmtId="1" fontId="0" fillId="32" borderId="0" xfId="0" applyNumberFormat="1" applyFill="1"/>
    <xf numFmtId="1" fontId="0" fillId="33" borderId="0" xfId="0" applyNumberFormat="1" applyFill="1"/>
    <xf numFmtId="1" fontId="0" fillId="34" borderId="0" xfId="0" applyNumberFormat="1" applyFill="1"/>
    <xf numFmtId="1" fontId="0" fillId="35" borderId="0" xfId="0" applyNumberFormat="1" applyFill="1"/>
    <xf numFmtId="1" fontId="0" fillId="36" borderId="0" xfId="0" applyNumberFormat="1" applyFill="1"/>
    <xf numFmtId="1" fontId="0" fillId="37" borderId="0" xfId="0" applyNumberFormat="1" applyFill="1"/>
    <xf numFmtId="1" fontId="0" fillId="38" borderId="0" xfId="0" applyNumberFormat="1" applyFill="1"/>
    <xf numFmtId="1" fontId="0" fillId="39" borderId="0" xfId="0" applyNumberFormat="1" applyFill="1"/>
    <xf numFmtId="1" fontId="0" fillId="40" borderId="0" xfId="0" applyNumberFormat="1" applyFill="1"/>
    <xf numFmtId="1" fontId="0" fillId="41" borderId="0" xfId="0" applyNumberFormat="1" applyFill="1"/>
    <xf numFmtId="1" fontId="0" fillId="42" borderId="0" xfId="0" applyNumberFormat="1" applyFill="1"/>
    <xf numFmtId="1" fontId="0" fillId="43" borderId="0" xfId="0" applyNumberFormat="1" applyFill="1"/>
    <xf numFmtId="1" fontId="0" fillId="44" borderId="0" xfId="0" applyNumberFormat="1" applyFill="1"/>
    <xf numFmtId="1" fontId="0" fillId="45" borderId="0" xfId="0" applyNumberFormat="1" applyFill="1"/>
    <xf numFmtId="1" fontId="0" fillId="46" borderId="0" xfId="0" applyNumberFormat="1" applyFill="1"/>
    <xf numFmtId="1" fontId="0" fillId="47" borderId="0" xfId="0" applyNumberFormat="1" applyFill="1"/>
    <xf numFmtId="1" fontId="0" fillId="48" borderId="0" xfId="0" applyNumberFormat="1" applyFill="1"/>
    <xf numFmtId="1" fontId="0" fillId="49" borderId="0" xfId="0" applyNumberFormat="1" applyFill="1"/>
    <xf numFmtId="1" fontId="0" fillId="50" borderId="0" xfId="0" applyNumberFormat="1" applyFill="1"/>
    <xf numFmtId="1" fontId="0" fillId="51" borderId="0" xfId="0" applyNumberFormat="1" applyFill="1"/>
    <xf numFmtId="1" fontId="0" fillId="52" borderId="0" xfId="0" applyNumberFormat="1" applyFill="1"/>
    <xf numFmtId="1" fontId="0" fillId="53" borderId="0" xfId="0" applyNumberFormat="1" applyFill="1"/>
    <xf numFmtId="1" fontId="0" fillId="54" borderId="0" xfId="0" applyNumberFormat="1" applyFill="1"/>
    <xf numFmtId="1" fontId="0" fillId="55" borderId="0" xfId="0" applyNumberFormat="1" applyFill="1"/>
    <xf numFmtId="1" fontId="0" fillId="56" borderId="0" xfId="0" applyNumberFormat="1" applyFill="1"/>
    <xf numFmtId="1" fontId="0" fillId="57" borderId="0" xfId="0" applyNumberFormat="1" applyFill="1"/>
    <xf numFmtId="1" fontId="0" fillId="58" borderId="0" xfId="0" applyNumberFormat="1" applyFill="1"/>
    <xf numFmtId="1" fontId="0" fillId="59" borderId="0" xfId="0" applyNumberFormat="1" applyFill="1"/>
    <xf numFmtId="1" fontId="0" fillId="60" borderId="0" xfId="0" applyNumberFormat="1" applyFill="1"/>
    <xf numFmtId="1" fontId="0" fillId="61" borderId="0" xfId="0" applyNumberFormat="1" applyFill="1"/>
    <xf numFmtId="1" fontId="0" fillId="62" borderId="0" xfId="0" applyNumberFormat="1" applyFill="1"/>
    <xf numFmtId="1" fontId="0" fillId="63" borderId="0" xfId="0" applyNumberFormat="1" applyFill="1"/>
    <xf numFmtId="1" fontId="0" fillId="64" borderId="0" xfId="0" applyNumberFormat="1" applyFill="1"/>
    <xf numFmtId="1" fontId="0" fillId="65" borderId="0" xfId="0" applyNumberFormat="1" applyFill="1"/>
    <xf numFmtId="1" fontId="0" fillId="66" borderId="0" xfId="0" applyNumberFormat="1" applyFill="1"/>
    <xf numFmtId="1" fontId="0" fillId="67" borderId="0" xfId="0" applyNumberFormat="1" applyFill="1"/>
    <xf numFmtId="1" fontId="0" fillId="68" borderId="0" xfId="0" applyNumberFormat="1" applyFill="1"/>
    <xf numFmtId="1" fontId="0" fillId="69" borderId="0" xfId="0" applyNumberFormat="1" applyFill="1"/>
    <xf numFmtId="1" fontId="0" fillId="70" borderId="0" xfId="0" applyNumberFormat="1" applyFill="1"/>
    <xf numFmtId="1" fontId="0" fillId="71" borderId="0" xfId="0" applyNumberFormat="1" applyFill="1"/>
    <xf numFmtId="1" fontId="0" fillId="72" borderId="0" xfId="0" applyNumberFormat="1" applyFill="1"/>
    <xf numFmtId="1" fontId="0" fillId="73" borderId="0" xfId="0" applyNumberFormat="1" applyFill="1"/>
    <xf numFmtId="1" fontId="0" fillId="74" borderId="0" xfId="0" applyNumberFormat="1" applyFill="1"/>
    <xf numFmtId="1" fontId="0" fillId="75" borderId="0" xfId="0" applyNumberFormat="1" applyFill="1"/>
    <xf numFmtId="1" fontId="0" fillId="76" borderId="0" xfId="0" applyNumberFormat="1" applyFill="1"/>
    <xf numFmtId="1" fontId="0" fillId="77" borderId="0" xfId="0" applyNumberFormat="1" applyFill="1"/>
    <xf numFmtId="1" fontId="0" fillId="78" borderId="0" xfId="0" applyNumberFormat="1" applyFill="1"/>
    <xf numFmtId="1" fontId="0" fillId="79" borderId="0" xfId="0" applyNumberFormat="1" applyFill="1"/>
    <xf numFmtId="1" fontId="0" fillId="80" borderId="0" xfId="0" applyNumberFormat="1" applyFill="1"/>
    <xf numFmtId="1" fontId="0" fillId="81" borderId="0" xfId="0" applyNumberFormat="1" applyFill="1"/>
    <xf numFmtId="1" fontId="0" fillId="82" borderId="0" xfId="0" applyNumberFormat="1" applyFill="1"/>
    <xf numFmtId="1" fontId="0" fillId="83" borderId="0" xfId="0" applyNumberFormat="1" applyFill="1"/>
    <xf numFmtId="1" fontId="0" fillId="84" borderId="0" xfId="0" applyNumberFormat="1" applyFill="1"/>
    <xf numFmtId="1" fontId="0" fillId="85" borderId="0" xfId="0" applyNumberFormat="1" applyFill="1"/>
    <xf numFmtId="1" fontId="0" fillId="86" borderId="0" xfId="0" applyNumberFormat="1" applyFill="1"/>
    <xf numFmtId="1" fontId="0" fillId="87" borderId="0" xfId="0" applyNumberFormat="1" applyFill="1"/>
    <xf numFmtId="1" fontId="0" fillId="88" borderId="0" xfId="0" applyNumberFormat="1" applyFill="1"/>
    <xf numFmtId="1" fontId="0" fillId="89" borderId="0" xfId="0" applyNumberFormat="1" applyFill="1"/>
    <xf numFmtId="1" fontId="0" fillId="90" borderId="0" xfId="0" applyNumberFormat="1" applyFill="1"/>
    <xf numFmtId="1" fontId="0" fillId="91" borderId="0" xfId="0" applyNumberFormat="1" applyFill="1"/>
    <xf numFmtId="1" fontId="0" fillId="92" borderId="0" xfId="0" applyNumberFormat="1" applyFill="1"/>
    <xf numFmtId="1" fontId="0" fillId="93" borderId="0" xfId="0" applyNumberFormat="1" applyFill="1"/>
    <xf numFmtId="1" fontId="0" fillId="94" borderId="0" xfId="0" applyNumberFormat="1" applyFill="1"/>
    <xf numFmtId="1" fontId="0" fillId="95" borderId="0" xfId="0" applyNumberFormat="1" applyFill="1"/>
    <xf numFmtId="1" fontId="0" fillId="96" borderId="0" xfId="0" applyNumberFormat="1" applyFill="1"/>
    <xf numFmtId="1" fontId="0" fillId="97" borderId="0" xfId="0" applyNumberFormat="1" applyFill="1"/>
    <xf numFmtId="1" fontId="0" fillId="98" borderId="0" xfId="0" applyNumberFormat="1" applyFill="1"/>
    <xf numFmtId="1" fontId="0" fillId="99" borderId="0" xfId="0" applyNumberFormat="1" applyFill="1"/>
    <xf numFmtId="1" fontId="0" fillId="100" borderId="0" xfId="0" applyNumberFormat="1" applyFill="1"/>
    <xf numFmtId="1" fontId="0" fillId="101" borderId="0" xfId="0" applyNumberFormat="1" applyFill="1"/>
    <xf numFmtId="1" fontId="0" fillId="102" borderId="0" xfId="0" applyNumberFormat="1" applyFill="1"/>
    <xf numFmtId="1" fontId="0" fillId="103" borderId="0" xfId="0" applyNumberFormat="1" applyFill="1"/>
    <xf numFmtId="1" fontId="0" fillId="104" borderId="0" xfId="0" applyNumberFormat="1" applyFill="1"/>
    <xf numFmtId="1" fontId="0" fillId="105" borderId="0" xfId="0" applyNumberFormat="1" applyFill="1"/>
    <xf numFmtId="1" fontId="0" fillId="106" borderId="0" xfId="0" applyNumberFormat="1" applyFill="1"/>
    <xf numFmtId="1" fontId="0" fillId="107" borderId="0" xfId="0" applyNumberFormat="1" applyFill="1"/>
    <xf numFmtId="1" fontId="0" fillId="108" borderId="0" xfId="0" applyNumberFormat="1" applyFill="1"/>
    <xf numFmtId="1" fontId="0" fillId="109" borderId="0" xfId="0" applyNumberFormat="1" applyFill="1"/>
    <xf numFmtId="1" fontId="0" fillId="110" borderId="0" xfId="0" applyNumberFormat="1" applyFill="1"/>
    <xf numFmtId="1" fontId="0" fillId="111" borderId="0" xfId="0" applyNumberFormat="1" applyFill="1"/>
    <xf numFmtId="1" fontId="0" fillId="112" borderId="0" xfId="0" applyNumberFormat="1" applyFill="1"/>
    <xf numFmtId="1" fontId="0" fillId="113" borderId="0" xfId="0" applyNumberFormat="1" applyFill="1"/>
    <xf numFmtId="1" fontId="0" fillId="114" borderId="0" xfId="0" applyNumberFormat="1" applyFill="1"/>
    <xf numFmtId="1" fontId="0" fillId="115" borderId="0" xfId="0" applyNumberFormat="1" applyFill="1"/>
    <xf numFmtId="1" fontId="0" fillId="116" borderId="0" xfId="0" applyNumberFormat="1" applyFill="1"/>
    <xf numFmtId="1" fontId="0" fillId="117" borderId="0" xfId="0" applyNumberFormat="1" applyFill="1"/>
    <xf numFmtId="1" fontId="0" fillId="118" borderId="0" xfId="0" applyNumberFormat="1" applyFill="1"/>
    <xf numFmtId="1" fontId="0" fillId="119" borderId="0" xfId="0" applyNumberFormat="1" applyFill="1"/>
    <xf numFmtId="1" fontId="0" fillId="120" borderId="0" xfId="0" applyNumberFormat="1" applyFill="1"/>
    <xf numFmtId="1" fontId="0" fillId="121" borderId="0" xfId="0" applyNumberFormat="1" applyFill="1"/>
    <xf numFmtId="1" fontId="0" fillId="122" borderId="0" xfId="0" applyNumberFormat="1" applyFill="1"/>
    <xf numFmtId="1" fontId="0" fillId="123" borderId="0" xfId="0" applyNumberFormat="1" applyFill="1"/>
    <xf numFmtId="1" fontId="0" fillId="124" borderId="0" xfId="0" applyNumberFormat="1" applyFill="1"/>
    <xf numFmtId="1" fontId="0" fillId="125" borderId="0" xfId="0" applyNumberFormat="1" applyFill="1"/>
    <xf numFmtId="1" fontId="0" fillId="126" borderId="0" xfId="0" applyNumberFormat="1" applyFill="1"/>
    <xf numFmtId="1" fontId="0" fillId="127" borderId="0" xfId="0" applyNumberFormat="1" applyFill="1"/>
    <xf numFmtId="1" fontId="0" fillId="128" borderId="0" xfId="0" applyNumberFormat="1" applyFill="1"/>
    <xf numFmtId="1" fontId="0" fillId="129" borderId="0" xfId="0" applyNumberFormat="1" applyFill="1"/>
    <xf numFmtId="1" fontId="0" fillId="130" borderId="0" xfId="0" applyNumberFormat="1" applyFill="1"/>
    <xf numFmtId="1" fontId="0" fillId="131" borderId="0" xfId="0" applyNumberFormat="1" applyFill="1"/>
    <xf numFmtId="1" fontId="0" fillId="132" borderId="0" xfId="0" applyNumberFormat="1" applyFill="1"/>
    <xf numFmtId="1" fontId="0" fillId="133" borderId="0" xfId="0" applyNumberFormat="1" applyFill="1"/>
    <xf numFmtId="1" fontId="0" fillId="134" borderId="0" xfId="0" applyNumberFormat="1" applyFill="1"/>
    <xf numFmtId="1" fontId="0" fillId="135" borderId="0" xfId="0" applyNumberFormat="1" applyFill="1"/>
    <xf numFmtId="1" fontId="0" fillId="136" borderId="0" xfId="0" applyNumberFormat="1" applyFill="1"/>
    <xf numFmtId="1" fontId="0" fillId="137" borderId="0" xfId="0" applyNumberFormat="1" applyFill="1"/>
    <xf numFmtId="1" fontId="0" fillId="138" borderId="0" xfId="0" applyNumberFormat="1" applyFill="1"/>
    <xf numFmtId="1" fontId="0" fillId="139" borderId="0" xfId="0" applyNumberFormat="1" applyFill="1"/>
    <xf numFmtId="1" fontId="0" fillId="140" borderId="0" xfId="0" applyNumberFormat="1" applyFill="1"/>
    <xf numFmtId="1" fontId="0" fillId="141" borderId="0" xfId="0" applyNumberFormat="1" applyFill="1"/>
    <xf numFmtId="1" fontId="0" fillId="142" borderId="0" xfId="0" applyNumberFormat="1" applyFill="1"/>
    <xf numFmtId="1" fontId="0" fillId="143" borderId="0" xfId="0" applyNumberFormat="1" applyFill="1"/>
    <xf numFmtId="1" fontId="0" fillId="144" borderId="0" xfId="0" applyNumberFormat="1" applyFill="1"/>
    <xf numFmtId="1" fontId="0" fillId="145" borderId="0" xfId="0" applyNumberFormat="1" applyFill="1"/>
    <xf numFmtId="1" fontId="0" fillId="146" borderId="0" xfId="0" applyNumberFormat="1" applyFill="1"/>
    <xf numFmtId="1" fontId="0" fillId="147" borderId="0" xfId="0" applyNumberFormat="1" applyFill="1"/>
    <xf numFmtId="1" fontId="0" fillId="148" borderId="0" xfId="0" applyNumberFormat="1" applyFill="1"/>
    <xf numFmtId="1" fontId="0" fillId="149" borderId="0" xfId="0" applyNumberFormat="1" applyFill="1"/>
    <xf numFmtId="1" fontId="0" fillId="150" borderId="0" xfId="0" applyNumberFormat="1" applyFill="1"/>
    <xf numFmtId="1" fontId="0" fillId="151" borderId="0" xfId="0" applyNumberFormat="1" applyFill="1"/>
    <xf numFmtId="1" fontId="0" fillId="152" borderId="0" xfId="0" applyNumberFormat="1" applyFill="1"/>
    <xf numFmtId="1" fontId="0" fillId="153" borderId="0" xfId="0" applyNumberFormat="1" applyFill="1"/>
    <xf numFmtId="1" fontId="0" fillId="154" borderId="0" xfId="0" applyNumberFormat="1" applyFill="1"/>
    <xf numFmtId="1" fontId="0" fillId="155" borderId="0" xfId="0" applyNumberFormat="1" applyFill="1"/>
    <xf numFmtId="1" fontId="0" fillId="156" borderId="0" xfId="0" applyNumberFormat="1" applyFill="1"/>
    <xf numFmtId="1" fontId="0" fillId="157" borderId="0" xfId="0" applyNumberFormat="1" applyFill="1"/>
    <xf numFmtId="1" fontId="0" fillId="158" borderId="0" xfId="0" applyNumberFormat="1" applyFill="1"/>
    <xf numFmtId="1" fontId="0" fillId="159" borderId="0" xfId="0" applyNumberFormat="1" applyFill="1"/>
    <xf numFmtId="1" fontId="0" fillId="160" borderId="0" xfId="0" applyNumberFormat="1" applyFill="1"/>
    <xf numFmtId="1" fontId="0" fillId="161" borderId="0" xfId="0" applyNumberFormat="1" applyFill="1"/>
    <xf numFmtId="1" fontId="0" fillId="162" borderId="0" xfId="0" applyNumberFormat="1" applyFill="1"/>
    <xf numFmtId="1" fontId="0" fillId="163" borderId="0" xfId="0" applyNumberFormat="1" applyFill="1"/>
    <xf numFmtId="1" fontId="0" fillId="164" borderId="0" xfId="0" applyNumberFormat="1" applyFill="1"/>
    <xf numFmtId="1" fontId="0" fillId="165" borderId="0" xfId="0" applyNumberFormat="1" applyFill="1"/>
    <xf numFmtId="1" fontId="0" fillId="166" borderId="0" xfId="0" applyNumberFormat="1" applyFill="1"/>
    <xf numFmtId="1" fontId="0" fillId="167" borderId="0" xfId="0" applyNumberFormat="1" applyFill="1"/>
    <xf numFmtId="1" fontId="0" fillId="168" borderId="0" xfId="0" applyNumberFormat="1" applyFill="1"/>
    <xf numFmtId="1" fontId="0" fillId="169" borderId="0" xfId="0" applyNumberFormat="1" applyFill="1"/>
    <xf numFmtId="1" fontId="0" fillId="170" borderId="0" xfId="0" applyNumberFormat="1" applyFill="1"/>
    <xf numFmtId="1" fontId="0" fillId="171" borderId="0" xfId="0" applyNumberFormat="1" applyFill="1"/>
    <xf numFmtId="1" fontId="0" fillId="172" borderId="0" xfId="0" applyNumberFormat="1" applyFill="1"/>
    <xf numFmtId="1" fontId="0" fillId="173" borderId="0" xfId="0" applyNumberFormat="1" applyFill="1"/>
    <xf numFmtId="1" fontId="0" fillId="174" borderId="0" xfId="0" applyNumberFormat="1" applyFill="1"/>
    <xf numFmtId="1" fontId="0" fillId="175" borderId="0" xfId="0" applyNumberFormat="1" applyFill="1"/>
    <xf numFmtId="1" fontId="0" fillId="176" borderId="0" xfId="0" applyNumberFormat="1" applyFill="1"/>
    <xf numFmtId="1" fontId="0" fillId="177" borderId="0" xfId="0" applyNumberFormat="1" applyFill="1"/>
    <xf numFmtId="1" fontId="0" fillId="178" borderId="0" xfId="0" applyNumberFormat="1" applyFill="1"/>
    <xf numFmtId="1" fontId="0" fillId="179" borderId="0" xfId="0" applyNumberFormat="1" applyFill="1"/>
    <xf numFmtId="1" fontId="0" fillId="180" borderId="0" xfId="0" applyNumberFormat="1" applyFill="1"/>
    <xf numFmtId="1" fontId="0" fillId="181" borderId="0" xfId="0" applyNumberFormat="1" applyFill="1"/>
    <xf numFmtId="1" fontId="0" fillId="182" borderId="0" xfId="0" applyNumberFormat="1" applyFill="1"/>
    <xf numFmtId="1" fontId="0" fillId="183" borderId="0" xfId="0" applyNumberFormat="1" applyFill="1"/>
    <xf numFmtId="1" fontId="0" fillId="184" borderId="0" xfId="0" applyNumberFormat="1" applyFill="1"/>
    <xf numFmtId="1" fontId="0" fillId="185" borderId="0" xfId="0" applyNumberFormat="1" applyFill="1"/>
    <xf numFmtId="1" fontId="0" fillId="186" borderId="0" xfId="0" applyNumberFormat="1" applyFill="1"/>
    <xf numFmtId="1" fontId="0" fillId="187" borderId="0" xfId="0" applyNumberFormat="1" applyFill="1"/>
    <xf numFmtId="1" fontId="0" fillId="188" borderId="0" xfId="0" applyNumberFormat="1" applyFill="1"/>
    <xf numFmtId="1" fontId="0" fillId="189" borderId="0" xfId="0" applyNumberFormat="1" applyFill="1"/>
    <xf numFmtId="1" fontId="0" fillId="190" borderId="0" xfId="0" applyNumberFormat="1" applyFill="1"/>
    <xf numFmtId="1" fontId="0" fillId="191" borderId="0" xfId="0" applyNumberFormat="1" applyFill="1"/>
    <xf numFmtId="1" fontId="0" fillId="192" borderId="0" xfId="0" applyNumberFormat="1" applyFill="1"/>
    <xf numFmtId="1" fontId="0" fillId="193" borderId="0" xfId="0" applyNumberFormat="1" applyFill="1"/>
    <xf numFmtId="1" fontId="0" fillId="194" borderId="0" xfId="0" applyNumberFormat="1" applyFill="1"/>
    <xf numFmtId="1" fontId="0" fillId="195" borderId="0" xfId="0" applyNumberFormat="1" applyFill="1"/>
    <xf numFmtId="1" fontId="0" fillId="196" borderId="0" xfId="0" applyNumberFormat="1" applyFill="1"/>
    <xf numFmtId="1" fontId="0" fillId="197" borderId="0" xfId="0" applyNumberFormat="1" applyFill="1"/>
    <xf numFmtId="1" fontId="0" fillId="198" borderId="0" xfId="0" applyNumberFormat="1" applyFill="1"/>
    <xf numFmtId="1" fontId="0" fillId="199" borderId="0" xfId="0" applyNumberFormat="1" applyFill="1"/>
    <xf numFmtId="1" fontId="0" fillId="200" borderId="0" xfId="0" applyNumberFormat="1" applyFill="1"/>
    <xf numFmtId="1" fontId="0" fillId="201" borderId="0" xfId="0" applyNumberFormat="1" applyFill="1"/>
    <xf numFmtId="1" fontId="0" fillId="202" borderId="0" xfId="0" applyNumberFormat="1" applyFill="1"/>
    <xf numFmtId="1" fontId="0" fillId="203" borderId="0" xfId="0" applyNumberFormat="1" applyFill="1"/>
    <xf numFmtId="1" fontId="0" fillId="204" borderId="0" xfId="0" applyNumberFormat="1" applyFill="1"/>
    <xf numFmtId="1" fontId="0" fillId="205" borderId="0" xfId="0" applyNumberFormat="1" applyFill="1"/>
    <xf numFmtId="1" fontId="0" fillId="206" borderId="0" xfId="0" applyNumberFormat="1" applyFill="1"/>
    <xf numFmtId="1" fontId="0" fillId="207" borderId="0" xfId="0" applyNumberFormat="1" applyFill="1"/>
    <xf numFmtId="1" fontId="0" fillId="208" borderId="0" xfId="0" applyNumberFormat="1" applyFill="1"/>
    <xf numFmtId="1" fontId="0" fillId="209" borderId="0" xfId="0" applyNumberFormat="1" applyFill="1"/>
    <xf numFmtId="1" fontId="0" fillId="210" borderId="0" xfId="0" applyNumberFormat="1" applyFill="1"/>
    <xf numFmtId="1" fontId="0" fillId="211" borderId="0" xfId="0" applyNumberFormat="1" applyFill="1"/>
    <xf numFmtId="1" fontId="0" fillId="212" borderId="0" xfId="0" applyNumberFormat="1" applyFill="1"/>
    <xf numFmtId="1" fontId="0" fillId="213" borderId="0" xfId="0" applyNumberFormat="1" applyFill="1"/>
    <xf numFmtId="1" fontId="0" fillId="214" borderId="0" xfId="0" applyNumberFormat="1" applyFill="1"/>
    <xf numFmtId="1" fontId="0" fillId="215" borderId="0" xfId="0" applyNumberFormat="1" applyFill="1"/>
    <xf numFmtId="1" fontId="0" fillId="216" borderId="0" xfId="0" applyNumberFormat="1" applyFill="1"/>
    <xf numFmtId="1" fontId="0" fillId="217" borderId="0" xfId="0" applyNumberFormat="1" applyFill="1"/>
    <xf numFmtId="1" fontId="0" fillId="218" borderId="0" xfId="0" applyNumberFormat="1" applyFill="1"/>
    <xf numFmtId="1" fontId="0" fillId="219" borderId="0" xfId="0" applyNumberFormat="1" applyFill="1"/>
    <xf numFmtId="1" fontId="0" fillId="220" borderId="0" xfId="0" applyNumberFormat="1" applyFill="1"/>
    <xf numFmtId="1" fontId="0" fillId="221" borderId="0" xfId="0" applyNumberFormat="1" applyFill="1"/>
    <xf numFmtId="1" fontId="0" fillId="222" borderId="0" xfId="0" applyNumberFormat="1" applyFill="1"/>
    <xf numFmtId="1" fontId="0" fillId="223" borderId="0" xfId="0" applyNumberFormat="1" applyFill="1"/>
    <xf numFmtId="1" fontId="0" fillId="224" borderId="0" xfId="0" applyNumberFormat="1" applyFill="1"/>
    <xf numFmtId="1" fontId="0" fillId="225" borderId="0" xfId="0" applyNumberFormat="1" applyFill="1"/>
    <xf numFmtId="1" fontId="0" fillId="226" borderId="0" xfId="0" applyNumberFormat="1" applyFill="1"/>
    <xf numFmtId="1" fontId="0" fillId="227" borderId="0" xfId="0" applyNumberFormat="1" applyFill="1"/>
    <xf numFmtId="1" fontId="0" fillId="228" borderId="0" xfId="0" applyNumberFormat="1" applyFill="1"/>
    <xf numFmtId="1" fontId="0" fillId="229" borderId="0" xfId="0" applyNumberFormat="1" applyFill="1"/>
    <xf numFmtId="1" fontId="0" fillId="230" borderId="0" xfId="0" applyNumberFormat="1" applyFill="1"/>
    <xf numFmtId="1" fontId="0" fillId="231" borderId="0" xfId="0" applyNumberFormat="1" applyFill="1"/>
    <xf numFmtId="1" fontId="0" fillId="232" borderId="0" xfId="0" applyNumberFormat="1" applyFill="1"/>
    <xf numFmtId="1" fontId="0" fillId="233" borderId="0" xfId="0" applyNumberFormat="1" applyFill="1"/>
    <xf numFmtId="1" fontId="0" fillId="234" borderId="0" xfId="0" applyNumberFormat="1" applyFill="1"/>
    <xf numFmtId="1" fontId="0" fillId="235" borderId="0" xfId="0" applyNumberFormat="1" applyFill="1"/>
    <xf numFmtId="1" fontId="0" fillId="236" borderId="0" xfId="0" applyNumberFormat="1" applyFill="1"/>
    <xf numFmtId="1" fontId="0" fillId="237" borderId="0" xfId="0" applyNumberFormat="1" applyFill="1"/>
    <xf numFmtId="1" fontId="0" fillId="238" borderId="0" xfId="0" applyNumberFormat="1" applyFill="1"/>
    <xf numFmtId="1" fontId="0" fillId="239" borderId="0" xfId="0" applyNumberFormat="1" applyFill="1"/>
    <xf numFmtId="1" fontId="0" fillId="240" borderId="0" xfId="0" applyNumberFormat="1" applyFill="1"/>
    <xf numFmtId="1" fontId="0" fillId="241" borderId="0" xfId="0" applyNumberFormat="1" applyFill="1"/>
    <xf numFmtId="1" fontId="0" fillId="242" borderId="0" xfId="0" applyNumberFormat="1" applyFill="1"/>
    <xf numFmtId="1" fontId="0" fillId="243" borderId="0" xfId="0" applyNumberFormat="1" applyFill="1"/>
    <xf numFmtId="1" fontId="0" fillId="244" borderId="0" xfId="0" applyNumberFormat="1" applyFill="1"/>
    <xf numFmtId="1" fontId="0" fillId="245" borderId="0" xfId="0" applyNumberFormat="1" applyFill="1"/>
    <xf numFmtId="1" fontId="0" fillId="246" borderId="0" xfId="0" applyNumberFormat="1" applyFill="1"/>
    <xf numFmtId="1" fontId="0" fillId="247" borderId="0" xfId="0" applyNumberFormat="1" applyFill="1"/>
    <xf numFmtId="1" fontId="0" fillId="248" borderId="0" xfId="0" applyNumberFormat="1" applyFill="1"/>
    <xf numFmtId="1" fontId="0" fillId="249" borderId="0" xfId="0" applyNumberFormat="1" applyFill="1"/>
    <xf numFmtId="1" fontId="0" fillId="250" borderId="0" xfId="0" applyNumberFormat="1" applyFill="1"/>
    <xf numFmtId="1" fontId="0" fillId="251" borderId="0" xfId="0" applyNumberFormat="1" applyFill="1"/>
    <xf numFmtId="1" fontId="0" fillId="252" borderId="0" xfId="0" applyNumberFormat="1" applyFill="1"/>
    <xf numFmtId="1" fontId="0" fillId="253" borderId="0" xfId="0" applyNumberFormat="1" applyFill="1"/>
    <xf numFmtId="1" fontId="0" fillId="254" borderId="0" xfId="0" applyNumberFormat="1" applyFill="1"/>
    <xf numFmtId="1" fontId="0" fillId="255" borderId="0" xfId="0" applyNumberFormat="1" applyFill="1"/>
    <xf numFmtId="1" fontId="0" fillId="256" borderId="0" xfId="0" applyNumberFormat="1" applyFill="1"/>
    <xf numFmtId="1" fontId="0" fillId="257" borderId="0" xfId="0" applyNumberFormat="1" applyFill="1"/>
    <xf numFmtId="1" fontId="0" fillId="258" borderId="0" xfId="0" applyNumberFormat="1" applyFill="1"/>
    <xf numFmtId="1" fontId="0" fillId="259" borderId="0" xfId="0" applyNumberFormat="1" applyFill="1"/>
    <xf numFmtId="1" fontId="0" fillId="260" borderId="0" xfId="0" applyNumberFormat="1" applyFill="1"/>
    <xf numFmtId="1" fontId="0" fillId="261" borderId="0" xfId="0" applyNumberFormat="1" applyFill="1"/>
    <xf numFmtId="1" fontId="0" fillId="262" borderId="0" xfId="0" applyNumberFormat="1" applyFill="1"/>
    <xf numFmtId="1" fontId="0" fillId="263" borderId="0" xfId="0" applyNumberFormat="1" applyFill="1"/>
    <xf numFmtId="1" fontId="0" fillId="264" borderId="0" xfId="0" applyNumberFormat="1" applyFill="1"/>
    <xf numFmtId="1" fontId="0" fillId="265" borderId="0" xfId="0" applyNumberFormat="1" applyFill="1"/>
    <xf numFmtId="1" fontId="0" fillId="266" borderId="0" xfId="0" applyNumberFormat="1" applyFill="1"/>
    <xf numFmtId="1" fontId="0" fillId="267" borderId="0" xfId="0" applyNumberFormat="1" applyFill="1"/>
    <xf numFmtId="1" fontId="0" fillId="268" borderId="0" xfId="0" applyNumberFormat="1" applyFill="1"/>
    <xf numFmtId="1" fontId="0" fillId="269" borderId="0" xfId="0" applyNumberFormat="1" applyFill="1"/>
    <xf numFmtId="1" fontId="0" fillId="270" borderId="0" xfId="0" applyNumberFormat="1" applyFill="1"/>
    <xf numFmtId="1" fontId="0" fillId="271" borderId="0" xfId="0" applyNumberFormat="1" applyFill="1"/>
    <xf numFmtId="1" fontId="0" fillId="272" borderId="0" xfId="0" applyNumberFormat="1" applyFill="1"/>
    <xf numFmtId="1" fontId="0" fillId="273" borderId="0" xfId="0" applyNumberFormat="1" applyFill="1"/>
    <xf numFmtId="1" fontId="0" fillId="274" borderId="0" xfId="0" applyNumberFormat="1" applyFill="1"/>
    <xf numFmtId="1" fontId="0" fillId="275" borderId="0" xfId="0" applyNumberFormat="1" applyFill="1"/>
    <xf numFmtId="1" fontId="0" fillId="276" borderId="0" xfId="0" applyNumberFormat="1" applyFill="1"/>
    <xf numFmtId="1" fontId="0" fillId="277" borderId="0" xfId="0" applyNumberFormat="1" applyFill="1"/>
    <xf numFmtId="1" fontId="0" fillId="278" borderId="0" xfId="0" applyNumberFormat="1" applyFill="1"/>
    <xf numFmtId="1" fontId="0" fillId="279" borderId="0" xfId="0" applyNumberFormat="1" applyFill="1"/>
    <xf numFmtId="1" fontId="0" fillId="280" borderId="0" xfId="0" applyNumberFormat="1" applyFill="1"/>
    <xf numFmtId="1" fontId="0" fillId="281" borderId="0" xfId="0" applyNumberFormat="1" applyFill="1"/>
    <xf numFmtId="1" fontId="0" fillId="282" borderId="0" xfId="0" applyNumberFormat="1" applyFill="1"/>
    <xf numFmtId="1" fontId="0" fillId="283" borderId="0" xfId="0" applyNumberFormat="1" applyFill="1"/>
    <xf numFmtId="1" fontId="0" fillId="284" borderId="0" xfId="0" applyNumberFormat="1" applyFill="1"/>
    <xf numFmtId="1" fontId="0" fillId="285" borderId="0" xfId="0" applyNumberFormat="1" applyFill="1"/>
    <xf numFmtId="1" fontId="0" fillId="286" borderId="0" xfId="0" applyNumberFormat="1" applyFill="1"/>
    <xf numFmtId="1" fontId="0" fillId="287" borderId="0" xfId="0" applyNumberFormat="1" applyFill="1"/>
    <xf numFmtId="1" fontId="0" fillId="288" borderId="0" xfId="0" applyNumberFormat="1" applyFill="1"/>
    <xf numFmtId="1" fontId="0" fillId="289" borderId="0" xfId="0" applyNumberFormat="1" applyFill="1"/>
    <xf numFmtId="1" fontId="0" fillId="290" borderId="0" xfId="0" applyNumberFormat="1" applyFill="1"/>
    <xf numFmtId="1" fontId="0" fillId="291" borderId="0" xfId="0" applyNumberFormat="1" applyFill="1"/>
    <xf numFmtId="1" fontId="0" fillId="292" borderId="0" xfId="0" applyNumberFormat="1" applyFill="1"/>
    <xf numFmtId="1" fontId="0" fillId="293" borderId="0" xfId="0" applyNumberFormat="1" applyFill="1"/>
    <xf numFmtId="1" fontId="0" fillId="294" borderId="0" xfId="0" applyNumberFormat="1" applyFill="1"/>
    <xf numFmtId="1" fontId="0" fillId="295" borderId="0" xfId="0" applyNumberFormat="1" applyFill="1"/>
    <xf numFmtId="1" fontId="0" fillId="296" borderId="0" xfId="0" applyNumberFormat="1" applyFill="1"/>
    <xf numFmtId="1" fontId="0" fillId="297" borderId="0" xfId="0" applyNumberFormat="1" applyFill="1"/>
    <xf numFmtId="1" fontId="0" fillId="298" borderId="0" xfId="0" applyNumberFormat="1" applyFill="1"/>
    <xf numFmtId="1" fontId="0" fillId="299" borderId="0" xfId="0" applyNumberFormat="1" applyFill="1"/>
    <xf numFmtId="1" fontId="0" fillId="300" borderId="0" xfId="0" applyNumberFormat="1" applyFill="1"/>
    <xf numFmtId="1" fontId="0" fillId="301" borderId="0" xfId="0" applyNumberFormat="1" applyFill="1"/>
    <xf numFmtId="1" fontId="0" fillId="302" borderId="0" xfId="0" applyNumberFormat="1" applyFill="1"/>
    <xf numFmtId="1" fontId="0" fillId="303" borderId="0" xfId="0" applyNumberFormat="1" applyFill="1"/>
    <xf numFmtId="1" fontId="0" fillId="304" borderId="0" xfId="0" applyNumberFormat="1" applyFill="1"/>
    <xf numFmtId="1" fontId="0" fillId="305" borderId="0" xfId="0" applyNumberFormat="1" applyFill="1"/>
    <xf numFmtId="1" fontId="0" fillId="306" borderId="0" xfId="0" applyNumberFormat="1" applyFill="1"/>
    <xf numFmtId="1" fontId="0" fillId="307" borderId="0" xfId="0" applyNumberFormat="1" applyFill="1"/>
    <xf numFmtId="1" fontId="0" fillId="308" borderId="0" xfId="0" applyNumberFormat="1" applyFill="1"/>
    <xf numFmtId="1" fontId="0" fillId="309" borderId="0" xfId="0" applyNumberFormat="1" applyFill="1"/>
    <xf numFmtId="1" fontId="0" fillId="310" borderId="0" xfId="0" applyNumberFormat="1" applyFill="1"/>
    <xf numFmtId="1" fontId="0" fillId="311" borderId="0" xfId="0" applyNumberFormat="1" applyFill="1"/>
    <xf numFmtId="1" fontId="0" fillId="312" borderId="0" xfId="0" applyNumberFormat="1" applyFill="1"/>
    <xf numFmtId="1" fontId="0" fillId="313" borderId="0" xfId="0" applyNumberFormat="1" applyFill="1"/>
    <xf numFmtId="1" fontId="0" fillId="314" borderId="0" xfId="0" applyNumberFormat="1" applyFill="1"/>
    <xf numFmtId="1" fontId="0" fillId="315" borderId="0" xfId="0" applyNumberFormat="1" applyFill="1"/>
    <xf numFmtId="1" fontId="0" fillId="316" borderId="0" xfId="0" applyNumberFormat="1" applyFill="1"/>
    <xf numFmtId="1" fontId="0" fillId="317" borderId="0" xfId="0" applyNumberFormat="1" applyFill="1"/>
    <xf numFmtId="1" fontId="0" fillId="318" borderId="0" xfId="0" applyNumberFormat="1" applyFill="1"/>
    <xf numFmtId="1" fontId="0" fillId="319" borderId="0" xfId="0" applyNumberFormat="1" applyFill="1"/>
    <xf numFmtId="1" fontId="0" fillId="320" borderId="0" xfId="0" applyNumberFormat="1" applyFill="1"/>
    <xf numFmtId="1" fontId="0" fillId="321" borderId="0" xfId="0" applyNumberFormat="1" applyFill="1"/>
    <xf numFmtId="1" fontId="0" fillId="322" borderId="0" xfId="0" applyNumberFormat="1" applyFill="1"/>
    <xf numFmtId="1" fontId="0" fillId="323" borderId="0" xfId="0" applyNumberFormat="1" applyFill="1"/>
    <xf numFmtId="1" fontId="0" fillId="324" borderId="0" xfId="0" applyNumberFormat="1" applyFill="1"/>
    <xf numFmtId="1" fontId="0" fillId="325" borderId="0" xfId="0" applyNumberFormat="1" applyFill="1"/>
    <xf numFmtId="1" fontId="0" fillId="326" borderId="0" xfId="0" applyNumberFormat="1" applyFill="1"/>
    <xf numFmtId="1" fontId="0" fillId="327" borderId="0" xfId="0" applyNumberFormat="1" applyFill="1"/>
    <xf numFmtId="1" fontId="0" fillId="328" borderId="0" xfId="0" applyNumberFormat="1" applyFill="1"/>
    <xf numFmtId="1" fontId="0" fillId="329" borderId="0" xfId="0" applyNumberFormat="1" applyFill="1"/>
    <xf numFmtId="1" fontId="0" fillId="330" borderId="0" xfId="0" applyNumberFormat="1" applyFill="1"/>
    <xf numFmtId="1" fontId="0" fillId="331" borderId="0" xfId="0" applyNumberFormat="1" applyFill="1"/>
    <xf numFmtId="1" fontId="0" fillId="332" borderId="0" xfId="0" applyNumberFormat="1" applyFill="1"/>
    <xf numFmtId="1" fontId="0" fillId="333" borderId="0" xfId="0" applyNumberFormat="1" applyFill="1"/>
    <xf numFmtId="1" fontId="0" fillId="334" borderId="0" xfId="0" applyNumberFormat="1" applyFill="1"/>
    <xf numFmtId="1" fontId="0" fillId="335" borderId="0" xfId="0" applyNumberFormat="1" applyFill="1"/>
    <xf numFmtId="1" fontId="0" fillId="336" borderId="0" xfId="0" applyNumberFormat="1" applyFill="1"/>
    <xf numFmtId="1" fontId="0" fillId="337" borderId="0" xfId="0" applyNumberFormat="1" applyFill="1"/>
    <xf numFmtId="1" fontId="0" fillId="338" borderId="0" xfId="0" applyNumberFormat="1" applyFill="1"/>
    <xf numFmtId="1" fontId="0" fillId="339" borderId="0" xfId="0" applyNumberFormat="1" applyFill="1"/>
    <xf numFmtId="1" fontId="0" fillId="340" borderId="0" xfId="0" applyNumberFormat="1" applyFill="1"/>
    <xf numFmtId="1" fontId="0" fillId="341" borderId="0" xfId="0" applyNumberFormat="1" applyFill="1"/>
    <xf numFmtId="1" fontId="0" fillId="342" borderId="0" xfId="0" applyNumberFormat="1" applyFill="1"/>
    <xf numFmtId="1" fontId="0" fillId="343" borderId="0" xfId="0" applyNumberFormat="1" applyFill="1"/>
    <xf numFmtId="1" fontId="0" fillId="344" borderId="0" xfId="0" applyNumberFormat="1" applyFill="1"/>
    <xf numFmtId="1" fontId="0" fillId="345" borderId="0" xfId="0" applyNumberFormat="1" applyFill="1"/>
    <xf numFmtId="1" fontId="0" fillId="346" borderId="0" xfId="0" applyNumberFormat="1" applyFill="1"/>
    <xf numFmtId="1" fontId="0" fillId="347" borderId="0" xfId="0" applyNumberFormat="1" applyFill="1"/>
    <xf numFmtId="1" fontId="0" fillId="348" borderId="0" xfId="0" applyNumberFormat="1" applyFill="1"/>
    <xf numFmtId="1" fontId="0" fillId="349" borderId="0" xfId="0" applyNumberFormat="1" applyFill="1"/>
    <xf numFmtId="1" fontId="0" fillId="350" borderId="0" xfId="0" applyNumberFormat="1" applyFill="1"/>
    <xf numFmtId="1" fontId="0" fillId="351" borderId="0" xfId="0" applyNumberFormat="1" applyFill="1"/>
    <xf numFmtId="1" fontId="0" fillId="352" borderId="0" xfId="0" applyNumberFormat="1" applyFill="1"/>
    <xf numFmtId="1" fontId="0" fillId="353" borderId="0" xfId="0" applyNumberFormat="1" applyFill="1"/>
    <xf numFmtId="1" fontId="0" fillId="354" borderId="0" xfId="0" applyNumberFormat="1" applyFill="1"/>
    <xf numFmtId="1" fontId="0" fillId="355" borderId="0" xfId="0" applyNumberFormat="1" applyFill="1"/>
    <xf numFmtId="1" fontId="0" fillId="356" borderId="0" xfId="0" applyNumberFormat="1" applyFill="1"/>
    <xf numFmtId="1" fontId="0" fillId="357" borderId="0" xfId="0" applyNumberFormat="1" applyFill="1"/>
    <xf numFmtId="1" fontId="0" fillId="358" borderId="0" xfId="0" applyNumberFormat="1" applyFill="1"/>
    <xf numFmtId="1" fontId="0" fillId="359" borderId="0" xfId="0" applyNumberFormat="1" applyFill="1"/>
    <xf numFmtId="1" fontId="0" fillId="360" borderId="0" xfId="0" applyNumberFormat="1" applyFill="1"/>
    <xf numFmtId="1" fontId="0" fillId="361" borderId="0" xfId="0" applyNumberFormat="1" applyFill="1"/>
    <xf numFmtId="1" fontId="0" fillId="362" borderId="0" xfId="0" applyNumberFormat="1" applyFill="1"/>
    <xf numFmtId="1" fontId="0" fillId="363" borderId="0" xfId="0" applyNumberFormat="1" applyFill="1"/>
    <xf numFmtId="1" fontId="0" fillId="364" borderId="0" xfId="0" applyNumberFormat="1" applyFill="1"/>
    <xf numFmtId="1" fontId="0" fillId="365" borderId="0" xfId="0" applyNumberFormat="1" applyFill="1"/>
    <xf numFmtId="1" fontId="0" fillId="366" borderId="0" xfId="0" applyNumberFormat="1" applyFill="1"/>
    <xf numFmtId="1" fontId="0" fillId="367" borderId="0" xfId="0" applyNumberFormat="1" applyFill="1"/>
    <xf numFmtId="1" fontId="0" fillId="368" borderId="0" xfId="0" applyNumberFormat="1" applyFill="1"/>
    <xf numFmtId="1" fontId="0" fillId="369" borderId="0" xfId="0" applyNumberFormat="1" applyFill="1"/>
    <xf numFmtId="1" fontId="0" fillId="370" borderId="0" xfId="0" applyNumberFormat="1" applyFill="1"/>
    <xf numFmtId="1" fontId="0" fillId="371" borderId="0" xfId="0" applyNumberFormat="1" applyFill="1"/>
    <xf numFmtId="1" fontId="0" fillId="372" borderId="0" xfId="0" applyNumberFormat="1" applyFill="1"/>
    <xf numFmtId="1" fontId="0" fillId="373" borderId="0" xfId="0" applyNumberFormat="1" applyFill="1"/>
    <xf numFmtId="1" fontId="0" fillId="374" borderId="0" xfId="0" applyNumberFormat="1" applyFill="1"/>
    <xf numFmtId="1" fontId="0" fillId="375" borderId="0" xfId="0" applyNumberFormat="1" applyFill="1"/>
    <xf numFmtId="1" fontId="0" fillId="376" borderId="0" xfId="0" applyNumberFormat="1" applyFill="1"/>
    <xf numFmtId="1" fontId="0" fillId="377" borderId="0" xfId="0" applyNumberFormat="1" applyFill="1"/>
    <xf numFmtId="1" fontId="0" fillId="378" borderId="0" xfId="0" applyNumberFormat="1" applyFill="1"/>
    <xf numFmtId="1" fontId="0" fillId="379" borderId="0" xfId="0" applyNumberFormat="1" applyFill="1"/>
    <xf numFmtId="1" fontId="0" fillId="380" borderId="0" xfId="0" applyNumberFormat="1" applyFill="1"/>
    <xf numFmtId="1" fontId="0" fillId="381" borderId="0" xfId="0" applyNumberFormat="1" applyFill="1"/>
    <xf numFmtId="1" fontId="0" fillId="382" borderId="0" xfId="0" applyNumberFormat="1" applyFill="1"/>
    <xf numFmtId="1" fontId="0" fillId="383" borderId="0" xfId="0" applyNumberFormat="1" applyFill="1"/>
    <xf numFmtId="1" fontId="0" fillId="384" borderId="0" xfId="0" applyNumberFormat="1" applyFill="1"/>
    <xf numFmtId="1" fontId="0" fillId="385" borderId="0" xfId="0" applyNumberFormat="1" applyFill="1"/>
    <xf numFmtId="1" fontId="0" fillId="386" borderId="0" xfId="0" applyNumberFormat="1" applyFill="1"/>
    <xf numFmtId="1" fontId="0" fillId="387" borderId="0" xfId="0" applyNumberFormat="1" applyFill="1"/>
    <xf numFmtId="1" fontId="0" fillId="388" borderId="0" xfId="0" applyNumberFormat="1" applyFill="1"/>
    <xf numFmtId="1" fontId="0" fillId="389" borderId="0" xfId="0" applyNumberFormat="1" applyFill="1"/>
    <xf numFmtId="1" fontId="0" fillId="390" borderId="0" xfId="0" applyNumberFormat="1" applyFill="1"/>
    <xf numFmtId="1" fontId="0" fillId="391" borderId="0" xfId="0" applyNumberFormat="1" applyFill="1"/>
    <xf numFmtId="1" fontId="0" fillId="392" borderId="0" xfId="0" applyNumberFormat="1" applyFill="1"/>
    <xf numFmtId="1" fontId="0" fillId="393" borderId="0" xfId="0" applyNumberFormat="1" applyFill="1"/>
    <xf numFmtId="1" fontId="0" fillId="394" borderId="0" xfId="0" applyNumberFormat="1" applyFill="1"/>
    <xf numFmtId="1" fontId="0" fillId="395" borderId="0" xfId="0" applyNumberFormat="1" applyFill="1"/>
    <xf numFmtId="1" fontId="0" fillId="396" borderId="0" xfId="0" applyNumberFormat="1" applyFill="1"/>
    <xf numFmtId="1" fontId="0" fillId="397" borderId="0" xfId="0" applyNumberFormat="1" applyFill="1"/>
    <xf numFmtId="1" fontId="0" fillId="398" borderId="0" xfId="0" applyNumberFormat="1" applyFill="1"/>
    <xf numFmtId="1" fontId="0" fillId="399" borderId="0" xfId="0" applyNumberFormat="1" applyFill="1"/>
    <xf numFmtId="1" fontId="0" fillId="400" borderId="0" xfId="0" applyNumberFormat="1" applyFill="1"/>
    <xf numFmtId="1" fontId="0" fillId="401" borderId="0" xfId="0" applyNumberFormat="1" applyFill="1"/>
    <xf numFmtId="1" fontId="0" fillId="402" borderId="0" xfId="0" applyNumberFormat="1" applyFill="1"/>
    <xf numFmtId="1" fontId="0" fillId="403" borderId="0" xfId="0" applyNumberFormat="1" applyFill="1"/>
    <xf numFmtId="1" fontId="0" fillId="404" borderId="0" xfId="0" applyNumberFormat="1" applyFill="1"/>
    <xf numFmtId="1" fontId="0" fillId="405" borderId="0" xfId="0" applyNumberFormat="1" applyFill="1"/>
    <xf numFmtId="1" fontId="0" fillId="406" borderId="0" xfId="0" applyNumberFormat="1" applyFill="1"/>
    <xf numFmtId="1" fontId="0" fillId="407" borderId="0" xfId="0" applyNumberFormat="1" applyFill="1"/>
    <xf numFmtId="1" fontId="0" fillId="408" borderId="0" xfId="0" applyNumberFormat="1" applyFill="1"/>
    <xf numFmtId="1" fontId="0" fillId="409" borderId="0" xfId="0" applyNumberFormat="1" applyFill="1"/>
    <xf numFmtId="1" fontId="0" fillId="410" borderId="0" xfId="0" applyNumberFormat="1" applyFill="1"/>
    <xf numFmtId="1" fontId="0" fillId="411" borderId="0" xfId="0" applyNumberFormat="1" applyFill="1"/>
    <xf numFmtId="1" fontId="0" fillId="412" borderId="0" xfId="0" applyNumberFormat="1" applyFill="1"/>
    <xf numFmtId="1" fontId="0" fillId="413" borderId="0" xfId="0" applyNumberFormat="1" applyFill="1"/>
    <xf numFmtId="1" fontId="0" fillId="414" borderId="0" xfId="0" applyNumberFormat="1" applyFill="1"/>
    <xf numFmtId="1" fontId="0" fillId="415" borderId="0" xfId="0" applyNumberFormat="1" applyFill="1"/>
    <xf numFmtId="1" fontId="0" fillId="416" borderId="0" xfId="0" applyNumberFormat="1" applyFill="1"/>
    <xf numFmtId="1" fontId="0" fillId="417" borderId="0" xfId="0" applyNumberFormat="1" applyFill="1"/>
    <xf numFmtId="1" fontId="0" fillId="418" borderId="0" xfId="0" applyNumberFormat="1" applyFill="1"/>
    <xf numFmtId="1" fontId="0" fillId="419" borderId="0" xfId="0" applyNumberFormat="1" applyFill="1"/>
    <xf numFmtId="1" fontId="0" fillId="420" borderId="0" xfId="0" applyNumberFormat="1" applyFill="1"/>
    <xf numFmtId="1" fontId="0" fillId="421" borderId="0" xfId="0" applyNumberFormat="1" applyFill="1"/>
    <xf numFmtId="1" fontId="0" fillId="422" borderId="0" xfId="0" applyNumberFormat="1" applyFill="1"/>
    <xf numFmtId="1" fontId="0" fillId="423" borderId="0" xfId="0" applyNumberFormat="1" applyFill="1"/>
    <xf numFmtId="1" fontId="0" fillId="424" borderId="0" xfId="0" applyNumberFormat="1" applyFill="1"/>
    <xf numFmtId="1" fontId="0" fillId="425" borderId="0" xfId="0" applyNumberFormat="1" applyFill="1"/>
    <xf numFmtId="1" fontId="0" fillId="426" borderId="0" xfId="0" applyNumberFormat="1" applyFill="1"/>
    <xf numFmtId="1" fontId="0" fillId="427" borderId="0" xfId="0" applyNumberFormat="1" applyFill="1"/>
    <xf numFmtId="1" fontId="0" fillId="428" borderId="0" xfId="0" applyNumberFormat="1" applyFill="1"/>
    <xf numFmtId="1" fontId="0" fillId="429" borderId="0" xfId="0" applyNumberFormat="1" applyFill="1"/>
    <xf numFmtId="1" fontId="0" fillId="430" borderId="0" xfId="0" applyNumberFormat="1" applyFill="1"/>
    <xf numFmtId="1" fontId="0" fillId="431" borderId="0" xfId="0" applyNumberFormat="1" applyFill="1"/>
    <xf numFmtId="1" fontId="0" fillId="432" borderId="0" xfId="0" applyNumberFormat="1" applyFill="1"/>
    <xf numFmtId="1" fontId="0" fillId="433" borderId="0" xfId="0" applyNumberFormat="1" applyFill="1"/>
    <xf numFmtId="1" fontId="0" fillId="434" borderId="0" xfId="0" applyNumberFormat="1" applyFill="1"/>
    <xf numFmtId="1" fontId="0" fillId="435" borderId="0" xfId="0" applyNumberFormat="1" applyFill="1"/>
    <xf numFmtId="1" fontId="0" fillId="436" borderId="0" xfId="0" applyNumberFormat="1" applyFill="1"/>
    <xf numFmtId="1" fontId="0" fillId="437" borderId="0" xfId="0" applyNumberFormat="1" applyFill="1"/>
    <xf numFmtId="1" fontId="0" fillId="438" borderId="0" xfId="0" applyNumberFormat="1" applyFill="1"/>
    <xf numFmtId="1" fontId="0" fillId="439" borderId="0" xfId="0" applyNumberFormat="1" applyFill="1"/>
    <xf numFmtId="1" fontId="0" fillId="440" borderId="0" xfId="0" applyNumberFormat="1" applyFill="1"/>
    <xf numFmtId="1" fontId="0" fillId="441" borderId="0" xfId="0" applyNumberFormat="1" applyFill="1"/>
    <xf numFmtId="1" fontId="0" fillId="442" borderId="0" xfId="0" applyNumberFormat="1" applyFill="1"/>
    <xf numFmtId="1" fontId="0" fillId="443" borderId="0" xfId="0" applyNumberFormat="1" applyFill="1"/>
    <xf numFmtId="1" fontId="0" fillId="444" borderId="0" xfId="0" applyNumberFormat="1" applyFill="1"/>
    <xf numFmtId="1" fontId="0" fillId="445" borderId="0" xfId="0" applyNumberFormat="1" applyFill="1"/>
    <xf numFmtId="1" fontId="0" fillId="446" borderId="0" xfId="0" applyNumberFormat="1" applyFill="1"/>
    <xf numFmtId="1" fontId="0" fillId="447" borderId="0" xfId="0" applyNumberFormat="1" applyFill="1"/>
    <xf numFmtId="1" fontId="0" fillId="448" borderId="0" xfId="0" applyNumberFormat="1" applyFill="1"/>
    <xf numFmtId="1" fontId="0" fillId="449" borderId="0" xfId="0" applyNumberFormat="1" applyFill="1"/>
    <xf numFmtId="1" fontId="0" fillId="450" borderId="0" xfId="0" applyNumberFormat="1" applyFill="1"/>
    <xf numFmtId="1" fontId="0" fillId="451" borderId="0" xfId="0" applyNumberFormat="1" applyFill="1"/>
    <xf numFmtId="1" fontId="0" fillId="452" borderId="0" xfId="0" applyNumberFormat="1" applyFill="1"/>
    <xf numFmtId="1" fontId="0" fillId="453" borderId="0" xfId="0" applyNumberFormat="1" applyFill="1"/>
    <xf numFmtId="1" fontId="0" fillId="454" borderId="0" xfId="0" applyNumberFormat="1" applyFill="1"/>
    <xf numFmtId="1" fontId="0" fillId="455" borderId="0" xfId="0" applyNumberFormat="1" applyFill="1"/>
    <xf numFmtId="1" fontId="0" fillId="456" borderId="0" xfId="0" applyNumberFormat="1" applyFill="1"/>
    <xf numFmtId="1" fontId="0" fillId="457" borderId="0" xfId="0" applyNumberFormat="1" applyFill="1"/>
    <xf numFmtId="1" fontId="0" fillId="458" borderId="0" xfId="0" applyNumberFormat="1" applyFill="1"/>
    <xf numFmtId="1" fontId="0" fillId="459" borderId="0" xfId="0" applyNumberFormat="1" applyFill="1"/>
    <xf numFmtId="1" fontId="0" fillId="460" borderId="0" xfId="0" applyNumberFormat="1" applyFill="1"/>
    <xf numFmtId="1" fontId="0" fillId="461" borderId="0" xfId="0" applyNumberFormat="1" applyFill="1"/>
    <xf numFmtId="1" fontId="0" fillId="462" borderId="0" xfId="0" applyNumberFormat="1" applyFill="1"/>
    <xf numFmtId="1" fontId="0" fillId="463" borderId="0" xfId="0" applyNumberFormat="1" applyFill="1"/>
    <xf numFmtId="1" fontId="0" fillId="464" borderId="0" xfId="0" applyNumberFormat="1" applyFill="1"/>
    <xf numFmtId="1" fontId="0" fillId="465" borderId="0" xfId="0" applyNumberFormat="1" applyFill="1"/>
    <xf numFmtId="1" fontId="0" fillId="466" borderId="0" xfId="0" applyNumberFormat="1" applyFill="1"/>
    <xf numFmtId="1" fontId="0" fillId="467" borderId="0" xfId="0" applyNumberFormat="1" applyFill="1"/>
    <xf numFmtId="1" fontId="0" fillId="468" borderId="0" xfId="0" applyNumberFormat="1" applyFill="1"/>
    <xf numFmtId="1" fontId="0" fillId="469" borderId="0" xfId="0" applyNumberFormat="1" applyFill="1"/>
    <xf numFmtId="1" fontId="0" fillId="470" borderId="0" xfId="0" applyNumberFormat="1" applyFill="1"/>
    <xf numFmtId="1" fontId="0" fillId="471" borderId="0" xfId="0" applyNumberFormat="1" applyFill="1"/>
    <xf numFmtId="1" fontId="0" fillId="472" borderId="0" xfId="0" applyNumberFormat="1" applyFill="1"/>
    <xf numFmtId="1" fontId="0" fillId="473" borderId="0" xfId="0" applyNumberFormat="1" applyFill="1"/>
    <xf numFmtId="1" fontId="0" fillId="474" borderId="0" xfId="0" applyNumberFormat="1" applyFill="1"/>
    <xf numFmtId="1" fontId="0" fillId="475" borderId="0" xfId="0" applyNumberFormat="1" applyFill="1"/>
    <xf numFmtId="1" fontId="0" fillId="476" borderId="0" xfId="0" applyNumberFormat="1" applyFill="1"/>
    <xf numFmtId="1" fontId="0" fillId="477" borderId="0" xfId="0" applyNumberFormat="1" applyFill="1"/>
    <xf numFmtId="1" fontId="0" fillId="478" borderId="0" xfId="0" applyNumberFormat="1" applyFill="1"/>
    <xf numFmtId="1" fontId="0" fillId="479" borderId="0" xfId="0" applyNumberFormat="1" applyFill="1"/>
    <xf numFmtId="1" fontId="0" fillId="480" borderId="0" xfId="0" applyNumberFormat="1" applyFill="1"/>
    <xf numFmtId="1" fontId="0" fillId="481" borderId="0" xfId="0" applyNumberFormat="1" applyFill="1"/>
    <xf numFmtId="1" fontId="0" fillId="482" borderId="0" xfId="0" applyNumberFormat="1" applyFill="1"/>
    <xf numFmtId="1" fontId="0" fillId="483" borderId="0" xfId="0" applyNumberFormat="1" applyFill="1"/>
    <xf numFmtId="1" fontId="0" fillId="484" borderId="0" xfId="0" applyNumberFormat="1" applyFill="1"/>
    <xf numFmtId="1" fontId="0" fillId="485" borderId="0" xfId="0" applyNumberFormat="1" applyFill="1"/>
    <xf numFmtId="1" fontId="0" fillId="486" borderId="0" xfId="0" applyNumberFormat="1" applyFill="1"/>
    <xf numFmtId="1" fontId="0" fillId="487" borderId="0" xfId="0" applyNumberFormat="1" applyFill="1"/>
    <xf numFmtId="1" fontId="0" fillId="488" borderId="0" xfId="0" applyNumberFormat="1" applyFill="1"/>
    <xf numFmtId="1" fontId="0" fillId="489" borderId="0" xfId="0" applyNumberFormat="1" applyFill="1"/>
    <xf numFmtId="1" fontId="0" fillId="490" borderId="0" xfId="0" applyNumberFormat="1" applyFill="1"/>
    <xf numFmtId="1" fontId="0" fillId="491" borderId="0" xfId="0" applyNumberFormat="1" applyFill="1"/>
    <xf numFmtId="1" fontId="0" fillId="492" borderId="0" xfId="0" applyNumberFormat="1" applyFill="1"/>
    <xf numFmtId="1" fontId="0" fillId="493" borderId="0" xfId="0" applyNumberFormat="1" applyFill="1"/>
    <xf numFmtId="1" fontId="0" fillId="494" borderId="0" xfId="0" applyNumberFormat="1" applyFill="1"/>
    <xf numFmtId="1" fontId="0" fillId="495" borderId="0" xfId="0" applyNumberFormat="1" applyFill="1"/>
    <xf numFmtId="1" fontId="0" fillId="496" borderId="0" xfId="0" applyNumberFormat="1" applyFill="1"/>
    <xf numFmtId="1" fontId="0" fillId="497" borderId="0" xfId="0" applyNumberFormat="1" applyFill="1"/>
    <xf numFmtId="1" fontId="0" fillId="498" borderId="0" xfId="0" applyNumberFormat="1" applyFill="1"/>
    <xf numFmtId="1" fontId="0" fillId="499" borderId="0" xfId="0" applyNumberFormat="1" applyFill="1"/>
    <xf numFmtId="1" fontId="0" fillId="500" borderId="0" xfId="0" applyNumberFormat="1" applyFill="1"/>
    <xf numFmtId="1" fontId="0" fillId="501" borderId="0" xfId="0" applyNumberFormat="1" applyFill="1"/>
    <xf numFmtId="1" fontId="0" fillId="502" borderId="0" xfId="0" applyNumberFormat="1" applyFill="1"/>
    <xf numFmtId="1" fontId="0" fillId="503" borderId="0" xfId="0" applyNumberFormat="1" applyFill="1"/>
    <xf numFmtId="1" fontId="0" fillId="504" borderId="0" xfId="0" applyNumberFormat="1" applyFill="1"/>
    <xf numFmtId="1" fontId="0" fillId="505" borderId="0" xfId="0" applyNumberFormat="1" applyFill="1"/>
    <xf numFmtId="1" fontId="0" fillId="506" borderId="0" xfId="0" applyNumberFormat="1" applyFill="1"/>
    <xf numFmtId="1" fontId="0" fillId="507" borderId="0" xfId="0" applyNumberFormat="1" applyFill="1"/>
    <xf numFmtId="1" fontId="0" fillId="508" borderId="0" xfId="0" applyNumberFormat="1" applyFill="1"/>
    <xf numFmtId="1" fontId="0" fillId="509" borderId="0" xfId="0" applyNumberFormat="1" applyFill="1"/>
    <xf numFmtId="1" fontId="0" fillId="510" borderId="0" xfId="0" applyNumberFormat="1" applyFill="1"/>
    <xf numFmtId="1" fontId="0" fillId="511" borderId="0" xfId="0" applyNumberFormat="1" applyFill="1"/>
    <xf numFmtId="1" fontId="0" fillId="512" borderId="0" xfId="0" applyNumberFormat="1" applyFill="1"/>
    <xf numFmtId="1" fontId="0" fillId="513" borderId="0" xfId="0" applyNumberFormat="1" applyFill="1"/>
    <xf numFmtId="1" fontId="0" fillId="514" borderId="0" xfId="0" applyNumberFormat="1" applyFill="1"/>
    <xf numFmtId="1" fontId="0" fillId="515" borderId="0" xfId="0" applyNumberFormat="1" applyFill="1"/>
    <xf numFmtId="1" fontId="0" fillId="516" borderId="0" xfId="0" applyNumberFormat="1" applyFill="1"/>
    <xf numFmtId="1" fontId="0" fillId="517" borderId="0" xfId="0" applyNumberFormat="1" applyFill="1"/>
    <xf numFmtId="1" fontId="0" fillId="518" borderId="0" xfId="0" applyNumberFormat="1" applyFill="1"/>
    <xf numFmtId="1" fontId="0" fillId="519" borderId="0" xfId="0" applyNumberFormat="1" applyFill="1"/>
    <xf numFmtId="1" fontId="0" fillId="520" borderId="0" xfId="0" applyNumberFormat="1" applyFill="1"/>
    <xf numFmtId="1" fontId="0" fillId="521" borderId="0" xfId="0" applyNumberFormat="1" applyFill="1"/>
    <xf numFmtId="1" fontId="0" fillId="522" borderId="0" xfId="0" applyNumberFormat="1" applyFill="1"/>
    <xf numFmtId="1" fontId="0" fillId="523" borderId="0" xfId="0" applyNumberFormat="1" applyFill="1"/>
    <xf numFmtId="1" fontId="0" fillId="524" borderId="0" xfId="0" applyNumberFormat="1" applyFill="1"/>
    <xf numFmtId="1" fontId="0" fillId="525" borderId="0" xfId="0" applyNumberFormat="1" applyFill="1"/>
    <xf numFmtId="1" fontId="0" fillId="526" borderId="0" xfId="0" applyNumberFormat="1" applyFill="1"/>
    <xf numFmtId="1" fontId="0" fillId="527" borderId="0" xfId="0" applyNumberFormat="1" applyFill="1"/>
    <xf numFmtId="1" fontId="0" fillId="528" borderId="0" xfId="0" applyNumberFormat="1" applyFill="1"/>
    <xf numFmtId="1" fontId="0" fillId="529" borderId="0" xfId="0" applyNumberFormat="1" applyFill="1"/>
    <xf numFmtId="1" fontId="0" fillId="530" borderId="0" xfId="0" applyNumberFormat="1" applyFill="1"/>
    <xf numFmtId="1" fontId="0" fillId="531" borderId="0" xfId="0" applyNumberFormat="1" applyFill="1"/>
    <xf numFmtId="1" fontId="0" fillId="532" borderId="0" xfId="0" applyNumberFormat="1" applyFill="1"/>
    <xf numFmtId="1" fontId="0" fillId="533" borderId="0" xfId="0" applyNumberFormat="1" applyFill="1"/>
    <xf numFmtId="1" fontId="0" fillId="534" borderId="0" xfId="0" applyNumberFormat="1" applyFill="1"/>
    <xf numFmtId="1" fontId="0" fillId="535" borderId="0" xfId="0" applyNumberFormat="1" applyFill="1"/>
    <xf numFmtId="1" fontId="0" fillId="536" borderId="0" xfId="0" applyNumberFormat="1" applyFill="1"/>
    <xf numFmtId="1" fontId="0" fillId="537" borderId="0" xfId="0" applyNumberFormat="1" applyFill="1"/>
    <xf numFmtId="1" fontId="0" fillId="538" borderId="0" xfId="0" applyNumberFormat="1" applyFill="1"/>
    <xf numFmtId="1" fontId="0" fillId="539" borderId="0" xfId="0" applyNumberFormat="1" applyFill="1"/>
    <xf numFmtId="1" fontId="0" fillId="540" borderId="0" xfId="0" applyNumberFormat="1" applyFill="1"/>
    <xf numFmtId="1" fontId="0" fillId="541" borderId="0" xfId="0" applyNumberFormat="1" applyFill="1"/>
    <xf numFmtId="1" fontId="0" fillId="542" borderId="0" xfId="0" applyNumberFormat="1" applyFill="1"/>
    <xf numFmtId="1" fontId="0" fillId="543" borderId="0" xfId="0" applyNumberFormat="1" applyFill="1"/>
    <xf numFmtId="1" fontId="0" fillId="544" borderId="0" xfId="0" applyNumberFormat="1" applyFill="1"/>
    <xf numFmtId="1" fontId="0" fillId="545" borderId="0" xfId="0" applyNumberFormat="1" applyFill="1"/>
    <xf numFmtId="1" fontId="0" fillId="546" borderId="0" xfId="0" applyNumberFormat="1" applyFill="1"/>
    <xf numFmtId="1" fontId="0" fillId="547" borderId="0" xfId="0" applyNumberFormat="1" applyFill="1"/>
    <xf numFmtId="1" fontId="0" fillId="548" borderId="0" xfId="0" applyNumberFormat="1" applyFill="1"/>
    <xf numFmtId="1" fontId="0" fillId="549" borderId="0" xfId="0" applyNumberFormat="1" applyFill="1"/>
    <xf numFmtId="1" fontId="0" fillId="550" borderId="0" xfId="0" applyNumberFormat="1" applyFill="1"/>
    <xf numFmtId="1" fontId="0" fillId="551" borderId="0" xfId="0" applyNumberFormat="1" applyFill="1"/>
    <xf numFmtId="1" fontId="0" fillId="552" borderId="0" xfId="0" applyNumberFormat="1" applyFill="1"/>
    <xf numFmtId="1" fontId="0" fillId="553" borderId="0" xfId="0" applyNumberFormat="1" applyFill="1"/>
    <xf numFmtId="1" fontId="0" fillId="554" borderId="0" xfId="0" applyNumberFormat="1" applyFill="1"/>
    <xf numFmtId="1" fontId="0" fillId="555" borderId="0" xfId="0" applyNumberFormat="1" applyFill="1"/>
    <xf numFmtId="1" fontId="0" fillId="556" borderId="0" xfId="0" applyNumberFormat="1" applyFill="1"/>
    <xf numFmtId="1" fontId="0" fillId="557" borderId="0" xfId="0" applyNumberFormat="1" applyFill="1"/>
    <xf numFmtId="1" fontId="0" fillId="558" borderId="0" xfId="0" applyNumberFormat="1" applyFill="1"/>
    <xf numFmtId="1" fontId="0" fillId="559" borderId="0" xfId="0" applyNumberFormat="1" applyFill="1"/>
    <xf numFmtId="1" fontId="0" fillId="560" borderId="0" xfId="0" applyNumberFormat="1" applyFill="1"/>
    <xf numFmtId="1" fontId="0" fillId="561" borderId="0" xfId="0" applyNumberFormat="1" applyFill="1"/>
    <xf numFmtId="1" fontId="0" fillId="562" borderId="0" xfId="0" applyNumberFormat="1" applyFill="1"/>
    <xf numFmtId="1" fontId="0" fillId="563" borderId="0" xfId="0" applyNumberFormat="1" applyFill="1"/>
    <xf numFmtId="1" fontId="0" fillId="564" borderId="0" xfId="0" applyNumberFormat="1" applyFill="1"/>
    <xf numFmtId="1" fontId="0" fillId="565" borderId="0" xfId="0" applyNumberFormat="1" applyFill="1"/>
    <xf numFmtId="1" fontId="0" fillId="566" borderId="0" xfId="0" applyNumberFormat="1" applyFill="1"/>
    <xf numFmtId="1" fontId="0" fillId="567" borderId="0" xfId="0" applyNumberFormat="1" applyFill="1"/>
    <xf numFmtId="1" fontId="0" fillId="568" borderId="0" xfId="0" applyNumberFormat="1" applyFill="1"/>
    <xf numFmtId="1" fontId="0" fillId="569" borderId="0" xfId="0" applyNumberFormat="1" applyFill="1"/>
    <xf numFmtId="1" fontId="0" fillId="570" borderId="0" xfId="0" applyNumberFormat="1" applyFill="1"/>
    <xf numFmtId="1" fontId="0" fillId="571" borderId="0" xfId="0" applyNumberFormat="1" applyFill="1"/>
    <xf numFmtId="1" fontId="0" fillId="572" borderId="0" xfId="0" applyNumberFormat="1" applyFill="1"/>
    <xf numFmtId="1" fontId="0" fillId="573" borderId="0" xfId="0" applyNumberFormat="1" applyFill="1"/>
    <xf numFmtId="1" fontId="0" fillId="574" borderId="0" xfId="0" applyNumberFormat="1" applyFill="1"/>
    <xf numFmtId="1" fontId="0" fillId="575" borderId="0" xfId="0" applyNumberFormat="1" applyFill="1"/>
    <xf numFmtId="1" fontId="0" fillId="576" borderId="0" xfId="0" applyNumberFormat="1" applyFill="1"/>
    <xf numFmtId="1" fontId="0" fillId="577" borderId="0" xfId="0" applyNumberFormat="1" applyFill="1"/>
    <xf numFmtId="1" fontId="0" fillId="578" borderId="0" xfId="0" applyNumberFormat="1" applyFill="1"/>
    <xf numFmtId="1" fontId="0" fillId="579" borderId="0" xfId="0" applyNumberFormat="1" applyFill="1"/>
    <xf numFmtId="1" fontId="0" fillId="580" borderId="0" xfId="0" applyNumberFormat="1" applyFill="1"/>
    <xf numFmtId="1" fontId="0" fillId="581" borderId="0" xfId="0" applyNumberFormat="1" applyFill="1"/>
    <xf numFmtId="1" fontId="0" fillId="582" borderId="0" xfId="0" applyNumberFormat="1" applyFill="1"/>
    <xf numFmtId="1" fontId="0" fillId="583" borderId="0" xfId="0" applyNumberFormat="1" applyFill="1"/>
    <xf numFmtId="1" fontId="0" fillId="584" borderId="0" xfId="0" applyNumberFormat="1" applyFill="1"/>
    <xf numFmtId="1" fontId="0" fillId="585" borderId="0" xfId="0" applyNumberFormat="1" applyFill="1"/>
    <xf numFmtId="1" fontId="0" fillId="586" borderId="0" xfId="0" applyNumberFormat="1" applyFill="1"/>
    <xf numFmtId="1" fontId="0" fillId="587" borderId="0" xfId="0" applyNumberFormat="1" applyFill="1"/>
    <xf numFmtId="1" fontId="0" fillId="588" borderId="0" xfId="0" applyNumberFormat="1" applyFill="1"/>
    <xf numFmtId="1" fontId="0" fillId="589" borderId="0" xfId="0" applyNumberFormat="1" applyFill="1"/>
    <xf numFmtId="1" fontId="0" fillId="590" borderId="0" xfId="0" applyNumberFormat="1" applyFill="1"/>
    <xf numFmtId="1" fontId="0" fillId="591" borderId="0" xfId="0" applyNumberFormat="1" applyFill="1"/>
    <xf numFmtId="1" fontId="0" fillId="592" borderId="0" xfId="0" applyNumberFormat="1" applyFill="1"/>
    <xf numFmtId="1" fontId="0" fillId="593" borderId="0" xfId="0" applyNumberFormat="1" applyFill="1"/>
    <xf numFmtId="1" fontId="0" fillId="594" borderId="0" xfId="0" applyNumberFormat="1" applyFill="1"/>
    <xf numFmtId="1" fontId="0" fillId="595" borderId="0" xfId="0" applyNumberFormat="1" applyFill="1"/>
    <xf numFmtId="1" fontId="0" fillId="596" borderId="0" xfId="0" applyNumberFormat="1" applyFill="1"/>
    <xf numFmtId="1" fontId="0" fillId="597" borderId="0" xfId="0" applyNumberFormat="1" applyFill="1"/>
    <xf numFmtId="1" fontId="0" fillId="598" borderId="0" xfId="0" applyNumberFormat="1" applyFill="1"/>
    <xf numFmtId="1" fontId="0" fillId="599" borderId="0" xfId="0" applyNumberFormat="1" applyFill="1"/>
    <xf numFmtId="1" fontId="0" fillId="600" borderId="0" xfId="0" applyNumberFormat="1" applyFill="1"/>
    <xf numFmtId="1" fontId="0" fillId="601" borderId="0" xfId="0" applyNumberFormat="1" applyFill="1"/>
    <xf numFmtId="1" fontId="0" fillId="602" borderId="0" xfId="0" applyNumberFormat="1" applyFill="1"/>
    <xf numFmtId="1" fontId="0" fillId="603" borderId="0" xfId="0" applyNumberFormat="1" applyFill="1"/>
    <xf numFmtId="1" fontId="0" fillId="604" borderId="0" xfId="0" applyNumberFormat="1" applyFill="1"/>
    <xf numFmtId="1" fontId="0" fillId="605" borderId="0" xfId="0" applyNumberFormat="1" applyFill="1"/>
    <xf numFmtId="1" fontId="0" fillId="606" borderId="0" xfId="0" applyNumberFormat="1" applyFill="1"/>
    <xf numFmtId="1" fontId="0" fillId="607" borderId="0" xfId="0" applyNumberFormat="1" applyFill="1"/>
    <xf numFmtId="1" fontId="0" fillId="608" borderId="0" xfId="0" applyNumberFormat="1" applyFill="1"/>
    <xf numFmtId="1" fontId="0" fillId="609" borderId="0" xfId="0" applyNumberFormat="1" applyFill="1"/>
    <xf numFmtId="1" fontId="0" fillId="610" borderId="0" xfId="0" applyNumberFormat="1" applyFill="1"/>
    <xf numFmtId="1" fontId="0" fillId="611" borderId="0" xfId="0" applyNumberFormat="1" applyFill="1"/>
    <xf numFmtId="1" fontId="0" fillId="612" borderId="0" xfId="0" applyNumberFormat="1" applyFill="1"/>
    <xf numFmtId="1" fontId="0" fillId="613" borderId="0" xfId="0" applyNumberFormat="1" applyFill="1"/>
    <xf numFmtId="1" fontId="0" fillId="614" borderId="0" xfId="0" applyNumberFormat="1" applyFill="1"/>
    <xf numFmtId="1" fontId="0" fillId="615" borderId="0" xfId="0" applyNumberFormat="1" applyFill="1"/>
    <xf numFmtId="1" fontId="0" fillId="616" borderId="0" xfId="0" applyNumberFormat="1" applyFill="1"/>
    <xf numFmtId="1" fontId="0" fillId="617" borderId="0" xfId="0" applyNumberFormat="1" applyFill="1"/>
    <xf numFmtId="1" fontId="0" fillId="618" borderId="0" xfId="0" applyNumberFormat="1" applyFill="1"/>
    <xf numFmtId="1" fontId="0" fillId="619" borderId="0" xfId="0" applyNumberFormat="1" applyFill="1"/>
    <xf numFmtId="1" fontId="0" fillId="620" borderId="0" xfId="0" applyNumberFormat="1" applyFill="1"/>
    <xf numFmtId="1" fontId="0" fillId="621" borderId="0" xfId="0" applyNumberFormat="1" applyFill="1"/>
    <xf numFmtId="1" fontId="0" fillId="622" borderId="0" xfId="0" applyNumberFormat="1" applyFill="1"/>
    <xf numFmtId="1" fontId="0" fillId="623" borderId="0" xfId="0" applyNumberFormat="1" applyFill="1"/>
    <xf numFmtId="1" fontId="0" fillId="624" borderId="0" xfId="0" applyNumberFormat="1" applyFill="1"/>
    <xf numFmtId="1" fontId="0" fillId="625" borderId="0" xfId="0" applyNumberFormat="1" applyFill="1"/>
    <xf numFmtId="1" fontId="0" fillId="626" borderId="0" xfId="0" applyNumberFormat="1" applyFill="1"/>
    <xf numFmtId="1" fontId="0" fillId="627" borderId="0" xfId="0" applyNumberFormat="1" applyFill="1"/>
    <xf numFmtId="1" fontId="0" fillId="628" borderId="0" xfId="0" applyNumberFormat="1" applyFill="1"/>
    <xf numFmtId="1" fontId="0" fillId="629" borderId="0" xfId="0" applyNumberFormat="1" applyFill="1"/>
    <xf numFmtId="1" fontId="0" fillId="630" borderId="0" xfId="0" applyNumberFormat="1" applyFill="1"/>
    <xf numFmtId="1" fontId="0" fillId="631" borderId="0" xfId="0" applyNumberFormat="1" applyFill="1"/>
    <xf numFmtId="1" fontId="0" fillId="632" borderId="0" xfId="0" applyNumberFormat="1" applyFill="1"/>
    <xf numFmtId="1" fontId="0" fillId="633" borderId="0" xfId="0" applyNumberFormat="1" applyFill="1"/>
    <xf numFmtId="1" fontId="0" fillId="634" borderId="0" xfId="0" applyNumberFormat="1" applyFill="1"/>
    <xf numFmtId="1" fontId="0" fillId="635" borderId="0" xfId="0" applyNumberFormat="1" applyFill="1"/>
    <xf numFmtId="1" fontId="0" fillId="636" borderId="0" xfId="0" applyNumberFormat="1" applyFill="1"/>
    <xf numFmtId="1" fontId="0" fillId="637" borderId="0" xfId="0" applyNumberFormat="1" applyFill="1"/>
    <xf numFmtId="1" fontId="0" fillId="638" borderId="0" xfId="0" applyNumberFormat="1" applyFill="1"/>
    <xf numFmtId="1" fontId="0" fillId="639" borderId="0" xfId="0" applyNumberFormat="1" applyFill="1"/>
    <xf numFmtId="1" fontId="0" fillId="640" borderId="0" xfId="0" applyNumberFormat="1" applyFill="1"/>
    <xf numFmtId="1" fontId="0" fillId="641" borderId="0" xfId="0" applyNumberFormat="1" applyFill="1"/>
    <xf numFmtId="1" fontId="0" fillId="642" borderId="0" xfId="0" applyNumberFormat="1" applyFill="1"/>
    <xf numFmtId="1" fontId="0" fillId="643" borderId="0" xfId="0" applyNumberFormat="1" applyFill="1"/>
    <xf numFmtId="1" fontId="0" fillId="644" borderId="0" xfId="0" applyNumberFormat="1" applyFill="1"/>
    <xf numFmtId="1" fontId="0" fillId="645" borderId="0" xfId="0" applyNumberFormat="1" applyFill="1"/>
    <xf numFmtId="1" fontId="0" fillId="646" borderId="0" xfId="0" applyNumberFormat="1" applyFill="1"/>
    <xf numFmtId="1" fontId="0" fillId="647" borderId="0" xfId="0" applyNumberFormat="1" applyFill="1"/>
    <xf numFmtId="1" fontId="0" fillId="648" borderId="0" xfId="0" applyNumberFormat="1" applyFill="1"/>
    <xf numFmtId="1" fontId="0" fillId="649" borderId="0" xfId="0" applyNumberFormat="1" applyFill="1"/>
    <xf numFmtId="1" fontId="0" fillId="650" borderId="0" xfId="0" applyNumberFormat="1" applyFill="1"/>
    <xf numFmtId="1" fontId="0" fillId="651" borderId="0" xfId="0" applyNumberFormat="1" applyFill="1"/>
    <xf numFmtId="1" fontId="0" fillId="652" borderId="0" xfId="0" applyNumberFormat="1" applyFill="1"/>
    <xf numFmtId="1" fontId="0" fillId="653" borderId="0" xfId="0" applyNumberFormat="1" applyFill="1"/>
    <xf numFmtId="1" fontId="0" fillId="654" borderId="0" xfId="0" applyNumberFormat="1" applyFill="1"/>
    <xf numFmtId="1" fontId="0" fillId="655" borderId="0" xfId="0" applyNumberFormat="1" applyFill="1"/>
    <xf numFmtId="1" fontId="0" fillId="656" borderId="0" xfId="0" applyNumberFormat="1" applyFill="1"/>
    <xf numFmtId="1" fontId="0" fillId="657" borderId="0" xfId="0" applyNumberFormat="1" applyFill="1"/>
    <xf numFmtId="1" fontId="0" fillId="658" borderId="0" xfId="0" applyNumberFormat="1" applyFill="1"/>
    <xf numFmtId="1" fontId="0" fillId="659" borderId="0" xfId="0" applyNumberFormat="1" applyFill="1"/>
    <xf numFmtId="1" fontId="0" fillId="660" borderId="0" xfId="0" applyNumberFormat="1" applyFill="1"/>
    <xf numFmtId="1" fontId="0" fillId="661" borderId="0" xfId="0" applyNumberFormat="1" applyFill="1"/>
    <xf numFmtId="1" fontId="0" fillId="662" borderId="0" xfId="0" applyNumberFormat="1" applyFill="1"/>
    <xf numFmtId="1" fontId="0" fillId="663" borderId="0" xfId="0" applyNumberFormat="1" applyFill="1"/>
    <xf numFmtId="1" fontId="0" fillId="664" borderId="0" xfId="0" applyNumberFormat="1" applyFill="1"/>
    <xf numFmtId="1" fontId="0" fillId="665" borderId="0" xfId="0" applyNumberFormat="1" applyFill="1"/>
    <xf numFmtId="1" fontId="0" fillId="666" borderId="0" xfId="0" applyNumberFormat="1" applyFill="1"/>
    <xf numFmtId="1" fontId="0" fillId="667" borderId="0" xfId="0" applyNumberFormat="1" applyFill="1"/>
    <xf numFmtId="1" fontId="0" fillId="668" borderId="0" xfId="0" applyNumberFormat="1" applyFill="1"/>
    <xf numFmtId="1" fontId="0" fillId="669" borderId="0" xfId="0" applyNumberFormat="1" applyFill="1"/>
    <xf numFmtId="1" fontId="0" fillId="670" borderId="0" xfId="0" applyNumberFormat="1" applyFill="1"/>
    <xf numFmtId="1" fontId="0" fillId="671" borderId="0" xfId="0" applyNumberFormat="1" applyFill="1"/>
    <xf numFmtId="1" fontId="0" fillId="672" borderId="0" xfId="0" applyNumberFormat="1" applyFill="1"/>
    <xf numFmtId="1" fontId="0" fillId="673" borderId="0" xfId="0" applyNumberFormat="1" applyFill="1"/>
    <xf numFmtId="1" fontId="0" fillId="674" borderId="0" xfId="0" applyNumberFormat="1" applyFill="1"/>
    <xf numFmtId="1" fontId="0" fillId="675" borderId="0" xfId="0" applyNumberFormat="1" applyFill="1"/>
    <xf numFmtId="1" fontId="0" fillId="676" borderId="0" xfId="0" applyNumberFormat="1" applyFill="1"/>
    <xf numFmtId="1" fontId="0" fillId="677" borderId="0" xfId="0" applyNumberFormat="1" applyFill="1"/>
    <xf numFmtId="1" fontId="0" fillId="678" borderId="0" xfId="0" applyNumberFormat="1" applyFill="1"/>
    <xf numFmtId="1" fontId="0" fillId="679" borderId="0" xfId="0" applyNumberFormat="1" applyFill="1"/>
    <xf numFmtId="1" fontId="0" fillId="680" borderId="0" xfId="0" applyNumberFormat="1" applyFill="1"/>
    <xf numFmtId="1" fontId="0" fillId="681" borderId="0" xfId="0" applyNumberFormat="1" applyFill="1"/>
    <xf numFmtId="1" fontId="0" fillId="682" borderId="0" xfId="0" applyNumberFormat="1" applyFill="1"/>
    <xf numFmtId="1" fontId="0" fillId="683" borderId="0" xfId="0" applyNumberFormat="1" applyFill="1"/>
    <xf numFmtId="1" fontId="0" fillId="684" borderId="0" xfId="0" applyNumberFormat="1" applyFill="1"/>
    <xf numFmtId="1" fontId="0" fillId="685" borderId="0" xfId="0" applyNumberFormat="1" applyFill="1"/>
    <xf numFmtId="1" fontId="0" fillId="686" borderId="0" xfId="0" applyNumberFormat="1" applyFill="1"/>
    <xf numFmtId="1" fontId="0" fillId="687" borderId="0" xfId="0" applyNumberFormat="1" applyFill="1"/>
    <xf numFmtId="1" fontId="0" fillId="688" borderId="0" xfId="0" applyNumberFormat="1" applyFill="1"/>
    <xf numFmtId="1" fontId="0" fillId="689" borderId="0" xfId="0" applyNumberFormat="1" applyFill="1"/>
    <xf numFmtId="1" fontId="0" fillId="690" borderId="0" xfId="0" applyNumberFormat="1" applyFill="1"/>
    <xf numFmtId="1" fontId="0" fillId="691" borderId="0" xfId="0" applyNumberFormat="1" applyFill="1"/>
    <xf numFmtId="1" fontId="0" fillId="692" borderId="0" xfId="0" applyNumberFormat="1" applyFill="1"/>
    <xf numFmtId="1" fontId="0" fillId="693" borderId="0" xfId="0" applyNumberFormat="1" applyFill="1"/>
    <xf numFmtId="1" fontId="0" fillId="694" borderId="0" xfId="0" applyNumberFormat="1" applyFill="1"/>
    <xf numFmtId="1" fontId="0" fillId="695" borderId="0" xfId="0" applyNumberFormat="1" applyFill="1"/>
    <xf numFmtId="1" fontId="0" fillId="696" borderId="0" xfId="0" applyNumberFormat="1" applyFill="1"/>
    <xf numFmtId="1" fontId="0" fillId="697" borderId="0" xfId="0" applyNumberFormat="1" applyFill="1"/>
    <xf numFmtId="1" fontId="0" fillId="698" borderId="0" xfId="0" applyNumberFormat="1" applyFill="1"/>
    <xf numFmtId="1" fontId="0" fillId="699" borderId="0" xfId="0" applyNumberFormat="1" applyFill="1"/>
    <xf numFmtId="1" fontId="0" fillId="700" borderId="0" xfId="0" applyNumberFormat="1" applyFill="1"/>
    <xf numFmtId="1" fontId="0" fillId="701" borderId="0" xfId="0" applyNumberFormat="1" applyFill="1"/>
    <xf numFmtId="1" fontId="0" fillId="702" borderId="0" xfId="0" applyNumberFormat="1" applyFill="1"/>
    <xf numFmtId="1" fontId="0" fillId="703" borderId="0" xfId="0" applyNumberFormat="1" applyFill="1"/>
    <xf numFmtId="1" fontId="0" fillId="704" borderId="0" xfId="0" applyNumberFormat="1" applyFill="1"/>
    <xf numFmtId="1" fontId="0" fillId="705" borderId="0" xfId="0" applyNumberFormat="1" applyFill="1"/>
    <xf numFmtId="1" fontId="0" fillId="706" borderId="0" xfId="0" applyNumberFormat="1" applyFill="1"/>
    <xf numFmtId="1" fontId="0" fillId="707" borderId="0" xfId="0" applyNumberFormat="1" applyFill="1"/>
    <xf numFmtId="1" fontId="0" fillId="708" borderId="0" xfId="0" applyNumberFormat="1" applyFill="1"/>
    <xf numFmtId="1" fontId="0" fillId="709" borderId="0" xfId="0" applyNumberFormat="1" applyFill="1"/>
    <xf numFmtId="1" fontId="0" fillId="710" borderId="0" xfId="0" applyNumberFormat="1" applyFill="1"/>
    <xf numFmtId="1" fontId="0" fillId="711" borderId="0" xfId="0" applyNumberFormat="1" applyFill="1"/>
    <xf numFmtId="1" fontId="0" fillId="712" borderId="0" xfId="0" applyNumberFormat="1" applyFill="1"/>
    <xf numFmtId="1" fontId="0" fillId="713" borderId="0" xfId="0" applyNumberFormat="1" applyFill="1"/>
    <xf numFmtId="1" fontId="0" fillId="714" borderId="0" xfId="0" applyNumberFormat="1" applyFill="1"/>
    <xf numFmtId="1" fontId="0" fillId="715" borderId="0" xfId="0" applyNumberFormat="1" applyFill="1"/>
    <xf numFmtId="1" fontId="0" fillId="716" borderId="0" xfId="0" applyNumberFormat="1" applyFill="1"/>
    <xf numFmtId="1" fontId="0" fillId="717" borderId="0" xfId="0" applyNumberFormat="1" applyFill="1"/>
    <xf numFmtId="1" fontId="0" fillId="718" borderId="0" xfId="0" applyNumberFormat="1" applyFill="1"/>
    <xf numFmtId="1" fontId="0" fillId="719" borderId="0" xfId="0" applyNumberFormat="1" applyFill="1"/>
    <xf numFmtId="1" fontId="0" fillId="720" borderId="0" xfId="0" applyNumberFormat="1" applyFill="1"/>
    <xf numFmtId="1" fontId="0" fillId="721" borderId="0" xfId="0" applyNumberFormat="1" applyFill="1"/>
    <xf numFmtId="1" fontId="0" fillId="722" borderId="0" xfId="0" applyNumberFormat="1" applyFill="1"/>
    <xf numFmtId="1" fontId="0" fillId="723" borderId="0" xfId="0" applyNumberFormat="1" applyFill="1"/>
    <xf numFmtId="1" fontId="0" fillId="724" borderId="0" xfId="0" applyNumberFormat="1" applyFill="1"/>
    <xf numFmtId="1" fontId="0" fillId="725" borderId="0" xfId="0" applyNumberFormat="1" applyFill="1"/>
    <xf numFmtId="1" fontId="0" fillId="726" borderId="0" xfId="0" applyNumberFormat="1" applyFill="1"/>
    <xf numFmtId="1" fontId="0" fillId="727" borderId="0" xfId="0" applyNumberFormat="1" applyFill="1"/>
    <xf numFmtId="1" fontId="0" fillId="728" borderId="0" xfId="0" applyNumberFormat="1" applyFill="1"/>
    <xf numFmtId="1" fontId="0" fillId="729" borderId="0" xfId="0" applyNumberFormat="1" applyFill="1"/>
    <xf numFmtId="1" fontId="0" fillId="730" borderId="0" xfId="0" applyNumberFormat="1" applyFill="1"/>
    <xf numFmtId="1" fontId="0" fillId="731" borderId="0" xfId="0" applyNumberFormat="1" applyFill="1"/>
    <xf numFmtId="1" fontId="0" fillId="732" borderId="0" xfId="0" applyNumberFormat="1" applyFill="1"/>
    <xf numFmtId="1" fontId="0" fillId="733" borderId="0" xfId="0" applyNumberFormat="1" applyFill="1"/>
    <xf numFmtId="1" fontId="0" fillId="734" borderId="0" xfId="0" applyNumberFormat="1" applyFill="1"/>
    <xf numFmtId="1" fontId="0" fillId="735" borderId="0" xfId="0" applyNumberFormat="1" applyFill="1"/>
    <xf numFmtId="1" fontId="0" fillId="736" borderId="0" xfId="0" applyNumberFormat="1" applyFill="1"/>
    <xf numFmtId="1" fontId="0" fillId="737" borderId="0" xfId="0" applyNumberFormat="1" applyFill="1"/>
    <xf numFmtId="1" fontId="0" fillId="738" borderId="0" xfId="0" applyNumberFormat="1" applyFill="1"/>
    <xf numFmtId="1" fontId="0" fillId="739" borderId="0" xfId="0" applyNumberFormat="1" applyFill="1"/>
    <xf numFmtId="1" fontId="0" fillId="740" borderId="0" xfId="0" applyNumberFormat="1" applyFill="1"/>
    <xf numFmtId="1" fontId="0" fillId="741" borderId="0" xfId="0" applyNumberFormat="1" applyFill="1"/>
    <xf numFmtId="1" fontId="0" fillId="742" borderId="0" xfId="0" applyNumberFormat="1" applyFill="1"/>
    <xf numFmtId="1" fontId="0" fillId="743" borderId="0" xfId="0" applyNumberFormat="1" applyFill="1"/>
    <xf numFmtId="1" fontId="0" fillId="744" borderId="0" xfId="0" applyNumberFormat="1" applyFill="1"/>
    <xf numFmtId="1" fontId="0" fillId="745" borderId="0" xfId="0" applyNumberFormat="1" applyFill="1"/>
    <xf numFmtId="1" fontId="0" fillId="746" borderId="0" xfId="0" applyNumberFormat="1" applyFill="1"/>
    <xf numFmtId="1" fontId="0" fillId="747" borderId="0" xfId="0" applyNumberFormat="1" applyFill="1"/>
    <xf numFmtId="1" fontId="0" fillId="748" borderId="0" xfId="0" applyNumberFormat="1" applyFill="1"/>
    <xf numFmtId="1" fontId="0" fillId="749" borderId="0" xfId="0" applyNumberFormat="1" applyFill="1"/>
    <xf numFmtId="1" fontId="0" fillId="750" borderId="0" xfId="0" applyNumberFormat="1" applyFill="1"/>
    <xf numFmtId="1" fontId="0" fillId="751" borderId="0" xfId="0" applyNumberFormat="1" applyFill="1"/>
    <xf numFmtId="1" fontId="0" fillId="752" borderId="0" xfId="0" applyNumberFormat="1" applyFill="1"/>
    <xf numFmtId="1" fontId="0" fillId="753" borderId="0" xfId="0" applyNumberFormat="1" applyFill="1"/>
    <xf numFmtId="1" fontId="0" fillId="754" borderId="0" xfId="0" applyNumberFormat="1" applyFill="1"/>
    <xf numFmtId="1" fontId="0" fillId="755" borderId="0" xfId="0" applyNumberFormat="1" applyFill="1"/>
    <xf numFmtId="1" fontId="0" fillId="756" borderId="0" xfId="0" applyNumberFormat="1" applyFill="1"/>
    <xf numFmtId="1" fontId="0" fillId="757" borderId="0" xfId="0" applyNumberFormat="1" applyFill="1"/>
    <xf numFmtId="1" fontId="0" fillId="758" borderId="0" xfId="0" applyNumberFormat="1" applyFill="1"/>
    <xf numFmtId="1" fontId="0" fillId="759" borderId="0" xfId="0" applyNumberFormat="1" applyFill="1"/>
    <xf numFmtId="1" fontId="0" fillId="760" borderId="0" xfId="0" applyNumberFormat="1" applyFill="1"/>
    <xf numFmtId="1" fontId="0" fillId="761" borderId="0" xfId="0" applyNumberFormat="1" applyFill="1"/>
    <xf numFmtId="1" fontId="0" fillId="762" borderId="0" xfId="0" applyNumberFormat="1" applyFill="1"/>
    <xf numFmtId="1" fontId="0" fillId="763" borderId="0" xfId="0" applyNumberFormat="1" applyFill="1"/>
    <xf numFmtId="1" fontId="0" fillId="764" borderId="0" xfId="0" applyNumberFormat="1" applyFill="1"/>
    <xf numFmtId="1" fontId="0" fillId="765" borderId="0" xfId="0" applyNumberFormat="1" applyFill="1"/>
    <xf numFmtId="1" fontId="0" fillId="766" borderId="0" xfId="0" applyNumberFormat="1" applyFill="1"/>
    <xf numFmtId="1" fontId="0" fillId="767" borderId="0" xfId="0" applyNumberFormat="1" applyFill="1"/>
    <xf numFmtId="1" fontId="0" fillId="768" borderId="0" xfId="0" applyNumberFormat="1" applyFill="1"/>
    <xf numFmtId="1" fontId="0" fillId="769" borderId="0" xfId="0" applyNumberFormat="1" applyFill="1"/>
    <xf numFmtId="1" fontId="0" fillId="770" borderId="0" xfId="0" applyNumberFormat="1" applyFill="1"/>
    <xf numFmtId="1" fontId="0" fillId="771" borderId="0" xfId="0" applyNumberFormat="1" applyFill="1"/>
    <xf numFmtId="1" fontId="0" fillId="772" borderId="0" xfId="0" applyNumberFormat="1" applyFill="1"/>
    <xf numFmtId="1" fontId="0" fillId="773" borderId="0" xfId="0" applyNumberFormat="1" applyFill="1"/>
    <xf numFmtId="1" fontId="0" fillId="774" borderId="0" xfId="0" applyNumberFormat="1" applyFill="1"/>
    <xf numFmtId="1" fontId="0" fillId="775" borderId="0" xfId="0" applyNumberFormat="1" applyFill="1"/>
    <xf numFmtId="1" fontId="0" fillId="776" borderId="0" xfId="0" applyNumberFormat="1" applyFill="1"/>
    <xf numFmtId="1" fontId="0" fillId="777" borderId="0" xfId="0" applyNumberFormat="1" applyFill="1"/>
    <xf numFmtId="1" fontId="0" fillId="778" borderId="0" xfId="0" applyNumberFormat="1" applyFill="1"/>
    <xf numFmtId="1" fontId="0" fillId="779" borderId="0" xfId="0" applyNumberFormat="1" applyFill="1"/>
    <xf numFmtId="1" fontId="0" fillId="780" borderId="0" xfId="0" applyNumberFormat="1" applyFill="1"/>
    <xf numFmtId="1" fontId="0" fillId="781" borderId="0" xfId="0" applyNumberFormat="1" applyFill="1"/>
    <xf numFmtId="1" fontId="0" fillId="782" borderId="0" xfId="0" applyNumberFormat="1" applyFill="1"/>
    <xf numFmtId="1" fontId="0" fillId="783" borderId="0" xfId="0" applyNumberFormat="1" applyFill="1"/>
    <xf numFmtId="1" fontId="0" fillId="784" borderId="0" xfId="0" applyNumberFormat="1" applyFill="1"/>
    <xf numFmtId="1" fontId="0" fillId="785" borderId="0" xfId="0" applyNumberFormat="1" applyFill="1"/>
    <xf numFmtId="1" fontId="0" fillId="786" borderId="0" xfId="0" applyNumberFormat="1" applyFill="1"/>
    <xf numFmtId="1" fontId="0" fillId="787" borderId="0" xfId="0" applyNumberFormat="1" applyFill="1"/>
    <xf numFmtId="1" fontId="0" fillId="788" borderId="0" xfId="0" applyNumberFormat="1" applyFill="1"/>
    <xf numFmtId="1" fontId="0" fillId="789" borderId="0" xfId="0" applyNumberFormat="1" applyFill="1"/>
    <xf numFmtId="1" fontId="0" fillId="790" borderId="0" xfId="0" applyNumberFormat="1" applyFill="1"/>
    <xf numFmtId="1" fontId="0" fillId="791" borderId="0" xfId="0" applyNumberFormat="1" applyFill="1"/>
    <xf numFmtId="1" fontId="0" fillId="792" borderId="0" xfId="0" applyNumberFormat="1" applyFill="1"/>
    <xf numFmtId="1" fontId="0" fillId="793" borderId="0" xfId="0" applyNumberFormat="1" applyFill="1"/>
    <xf numFmtId="1" fontId="0" fillId="794" borderId="0" xfId="0" applyNumberFormat="1" applyFill="1"/>
    <xf numFmtId="1" fontId="0" fillId="795" borderId="0" xfId="0" applyNumberFormat="1" applyFill="1"/>
    <xf numFmtId="1" fontId="0" fillId="796" borderId="0" xfId="0" applyNumberFormat="1" applyFill="1"/>
    <xf numFmtId="1" fontId="0" fillId="797" borderId="0" xfId="0" applyNumberFormat="1" applyFill="1"/>
    <xf numFmtId="1" fontId="0" fillId="798" borderId="0" xfId="0" applyNumberFormat="1" applyFill="1"/>
    <xf numFmtId="1" fontId="0" fillId="799" borderId="0" xfId="0" applyNumberFormat="1" applyFill="1"/>
    <xf numFmtId="1" fontId="0" fillId="800" borderId="0" xfId="0" applyNumberFormat="1" applyFill="1"/>
    <xf numFmtId="1" fontId="0" fillId="801" borderId="0" xfId="0" applyNumberFormat="1" applyFill="1"/>
    <xf numFmtId="1" fontId="0" fillId="802" borderId="0" xfId="0" applyNumberFormat="1" applyFill="1"/>
    <xf numFmtId="1" fontId="0" fillId="803" borderId="0" xfId="0" applyNumberFormat="1" applyFill="1"/>
    <xf numFmtId="1" fontId="0" fillId="804" borderId="0" xfId="0" applyNumberFormat="1" applyFill="1"/>
    <xf numFmtId="1" fontId="0" fillId="805" borderId="0" xfId="0" applyNumberFormat="1" applyFill="1"/>
    <xf numFmtId="1" fontId="0" fillId="806" borderId="0" xfId="0" applyNumberFormat="1" applyFill="1"/>
    <xf numFmtId="1" fontId="0" fillId="807" borderId="0" xfId="0" applyNumberFormat="1" applyFill="1"/>
    <xf numFmtId="1" fontId="0" fillId="808" borderId="0" xfId="0" applyNumberFormat="1" applyFill="1"/>
    <xf numFmtId="1" fontId="0" fillId="809" borderId="0" xfId="0" applyNumberFormat="1" applyFill="1"/>
    <xf numFmtId="1" fontId="0" fillId="810" borderId="0" xfId="0" applyNumberFormat="1" applyFill="1"/>
    <xf numFmtId="1" fontId="0" fillId="811" borderId="0" xfId="0" applyNumberFormat="1" applyFill="1"/>
    <xf numFmtId="1" fontId="0" fillId="812" borderId="0" xfId="0" applyNumberFormat="1" applyFill="1"/>
    <xf numFmtId="1" fontId="0" fillId="813" borderId="0" xfId="0" applyNumberFormat="1" applyFill="1"/>
    <xf numFmtId="1" fontId="0" fillId="814" borderId="0" xfId="0" applyNumberFormat="1" applyFill="1"/>
    <xf numFmtId="1" fontId="0" fillId="815" borderId="0" xfId="0" applyNumberFormat="1" applyFill="1"/>
    <xf numFmtId="1" fontId="0" fillId="816" borderId="0" xfId="0" applyNumberFormat="1" applyFill="1"/>
    <xf numFmtId="1" fontId="0" fillId="817" borderId="0" xfId="0" applyNumberFormat="1" applyFill="1"/>
    <xf numFmtId="1" fontId="0" fillId="818" borderId="0" xfId="0" applyNumberFormat="1" applyFill="1"/>
    <xf numFmtId="1" fontId="0" fillId="819" borderId="0" xfId="0" applyNumberFormat="1" applyFill="1"/>
    <xf numFmtId="1" fontId="0" fillId="820" borderId="0" xfId="0" applyNumberFormat="1" applyFill="1"/>
    <xf numFmtId="1" fontId="0" fillId="821" borderId="0" xfId="0" applyNumberFormat="1" applyFill="1"/>
    <xf numFmtId="1" fontId="0" fillId="822" borderId="0" xfId="0" applyNumberFormat="1" applyFill="1"/>
    <xf numFmtId="1" fontId="0" fillId="823" borderId="0" xfId="0" applyNumberFormat="1" applyFill="1"/>
    <xf numFmtId="1" fontId="0" fillId="824" borderId="0" xfId="0" applyNumberFormat="1" applyFill="1"/>
    <xf numFmtId="1" fontId="0" fillId="825" borderId="0" xfId="0" applyNumberFormat="1" applyFill="1"/>
    <xf numFmtId="1" fontId="0" fillId="826" borderId="0" xfId="0" applyNumberFormat="1" applyFill="1"/>
    <xf numFmtId="1" fontId="0" fillId="827" borderId="0" xfId="0" applyNumberFormat="1" applyFill="1"/>
    <xf numFmtId="1" fontId="0" fillId="828" borderId="0" xfId="0" applyNumberFormat="1" applyFill="1"/>
    <xf numFmtId="1" fontId="0" fillId="829" borderId="0" xfId="0" applyNumberFormat="1" applyFill="1"/>
    <xf numFmtId="1" fontId="0" fillId="830" borderId="0" xfId="0" applyNumberFormat="1" applyFill="1"/>
    <xf numFmtId="1" fontId="0" fillId="831" borderId="0" xfId="0" applyNumberFormat="1" applyFill="1"/>
    <xf numFmtId="1" fontId="0" fillId="832" borderId="0" xfId="0" applyNumberFormat="1" applyFill="1"/>
    <xf numFmtId="1" fontId="0" fillId="833" borderId="0" xfId="0" applyNumberFormat="1" applyFill="1"/>
    <xf numFmtId="1" fontId="0" fillId="834" borderId="0" xfId="0" applyNumberFormat="1" applyFill="1"/>
    <xf numFmtId="1" fontId="0" fillId="835" borderId="0" xfId="0" applyNumberFormat="1" applyFill="1"/>
    <xf numFmtId="1" fontId="0" fillId="836" borderId="0" xfId="0" applyNumberFormat="1" applyFill="1"/>
    <xf numFmtId="1" fontId="0" fillId="837" borderId="0" xfId="0" applyNumberFormat="1" applyFill="1"/>
    <xf numFmtId="1" fontId="0" fillId="838" borderId="0" xfId="0" applyNumberFormat="1" applyFill="1"/>
    <xf numFmtId="1" fontId="0" fillId="839" borderId="0" xfId="0" applyNumberFormat="1" applyFill="1"/>
    <xf numFmtId="1" fontId="0" fillId="840" borderId="0" xfId="0" applyNumberFormat="1" applyFill="1"/>
    <xf numFmtId="1" fontId="0" fillId="841" borderId="0" xfId="0" applyNumberFormat="1" applyFill="1"/>
    <xf numFmtId="1" fontId="0" fillId="842" borderId="0" xfId="0" applyNumberFormat="1" applyFill="1"/>
    <xf numFmtId="1" fontId="0" fillId="843" borderId="0" xfId="0" applyNumberFormat="1" applyFill="1"/>
    <xf numFmtId="1" fontId="0" fillId="844" borderId="0" xfId="0" applyNumberFormat="1" applyFill="1"/>
    <xf numFmtId="1" fontId="0" fillId="845" borderId="0" xfId="0" applyNumberFormat="1" applyFill="1"/>
    <xf numFmtId="1" fontId="0" fillId="846" borderId="0" xfId="0" applyNumberFormat="1" applyFill="1"/>
    <xf numFmtId="1" fontId="0" fillId="847" borderId="0" xfId="0" applyNumberFormat="1" applyFill="1"/>
    <xf numFmtId="1" fontId="0" fillId="848" borderId="0" xfId="0" applyNumberFormat="1" applyFill="1"/>
    <xf numFmtId="1" fontId="0" fillId="849" borderId="0" xfId="0" applyNumberFormat="1" applyFill="1"/>
    <xf numFmtId="1" fontId="0" fillId="850" borderId="0" xfId="0" applyNumberFormat="1" applyFill="1"/>
    <xf numFmtId="1" fontId="0" fillId="851" borderId="0" xfId="0" applyNumberFormat="1" applyFill="1"/>
    <xf numFmtId="1" fontId="0" fillId="852" borderId="0" xfId="0" applyNumberFormat="1" applyFill="1"/>
    <xf numFmtId="1" fontId="0" fillId="853" borderId="0" xfId="0" applyNumberFormat="1" applyFill="1"/>
    <xf numFmtId="1" fontId="0" fillId="854" borderId="0" xfId="0" applyNumberFormat="1" applyFill="1"/>
    <xf numFmtId="1" fontId="0" fillId="855" borderId="0" xfId="0" applyNumberFormat="1" applyFill="1"/>
    <xf numFmtId="1" fontId="0" fillId="856" borderId="0" xfId="0" applyNumberFormat="1" applyFill="1"/>
    <xf numFmtId="1" fontId="0" fillId="857" borderId="0" xfId="0" applyNumberFormat="1" applyFill="1"/>
    <xf numFmtId="1" fontId="0" fillId="858" borderId="0" xfId="0" applyNumberFormat="1" applyFill="1"/>
    <xf numFmtId="1" fontId="0" fillId="859" borderId="0" xfId="0" applyNumberFormat="1" applyFill="1"/>
    <xf numFmtId="1" fontId="0" fillId="860" borderId="0" xfId="0" applyNumberFormat="1" applyFill="1"/>
    <xf numFmtId="1" fontId="0" fillId="861" borderId="0" xfId="0" applyNumberFormat="1" applyFill="1"/>
    <xf numFmtId="1" fontId="0" fillId="862" borderId="0" xfId="0" applyNumberFormat="1" applyFill="1"/>
    <xf numFmtId="1" fontId="0" fillId="863" borderId="0" xfId="0" applyNumberFormat="1" applyFill="1"/>
    <xf numFmtId="1" fontId="0" fillId="864" borderId="0" xfId="0" applyNumberFormat="1" applyFill="1"/>
    <xf numFmtId="1" fontId="0" fillId="865" borderId="0" xfId="0" applyNumberFormat="1" applyFill="1"/>
    <xf numFmtId="1" fontId="0" fillId="866" borderId="0" xfId="0" applyNumberFormat="1" applyFill="1"/>
    <xf numFmtId="1" fontId="0" fillId="867" borderId="0" xfId="0" applyNumberFormat="1" applyFill="1"/>
    <xf numFmtId="1" fontId="0" fillId="868" borderId="0" xfId="0" applyNumberFormat="1" applyFill="1"/>
    <xf numFmtId="1" fontId="0" fillId="869" borderId="0" xfId="0" applyNumberFormat="1" applyFill="1"/>
    <xf numFmtId="1" fontId="0" fillId="870" borderId="0" xfId="0" applyNumberFormat="1" applyFill="1"/>
    <xf numFmtId="1" fontId="0" fillId="871" borderId="0" xfId="0" applyNumberFormat="1" applyFill="1"/>
    <xf numFmtId="1" fontId="0" fillId="872" borderId="0" xfId="0" applyNumberFormat="1" applyFill="1"/>
    <xf numFmtId="1" fontId="0" fillId="873" borderId="0" xfId="0" applyNumberFormat="1" applyFill="1"/>
    <xf numFmtId="1" fontId="0" fillId="874" borderId="0" xfId="0" applyNumberFormat="1" applyFill="1"/>
    <xf numFmtId="1" fontId="0" fillId="875" borderId="0" xfId="0" applyNumberFormat="1" applyFill="1"/>
    <xf numFmtId="1" fontId="0" fillId="876" borderId="0" xfId="0" applyNumberFormat="1" applyFill="1"/>
    <xf numFmtId="1" fontId="0" fillId="877" borderId="0" xfId="0" applyNumberFormat="1" applyFill="1"/>
    <xf numFmtId="1" fontId="0" fillId="878" borderId="0" xfId="0" applyNumberFormat="1" applyFill="1"/>
    <xf numFmtId="1" fontId="0" fillId="879" borderId="0" xfId="0" applyNumberFormat="1" applyFill="1"/>
    <xf numFmtId="1" fontId="0" fillId="880" borderId="0" xfId="0" applyNumberFormat="1" applyFill="1"/>
    <xf numFmtId="1" fontId="0" fillId="881" borderId="0" xfId="0" applyNumberFormat="1" applyFill="1"/>
    <xf numFmtId="1" fontId="0" fillId="882" borderId="0" xfId="0" applyNumberFormat="1" applyFill="1"/>
    <xf numFmtId="1" fontId="0" fillId="883" borderId="0" xfId="0" applyNumberFormat="1" applyFill="1"/>
    <xf numFmtId="1" fontId="0" fillId="884" borderId="0" xfId="0" applyNumberFormat="1" applyFill="1"/>
    <xf numFmtId="1" fontId="0" fillId="885" borderId="0" xfId="0" applyNumberFormat="1" applyFill="1"/>
    <xf numFmtId="1" fontId="0" fillId="886" borderId="0" xfId="0" applyNumberFormat="1" applyFill="1"/>
    <xf numFmtId="1" fontId="0" fillId="887" borderId="0" xfId="0" applyNumberFormat="1" applyFill="1"/>
    <xf numFmtId="1" fontId="0" fillId="888" borderId="0" xfId="0" applyNumberFormat="1" applyFill="1"/>
    <xf numFmtId="1" fontId="0" fillId="889" borderId="0" xfId="0" applyNumberFormat="1" applyFill="1"/>
    <xf numFmtId="1" fontId="0" fillId="890" borderId="0" xfId="0" applyNumberFormat="1" applyFill="1"/>
    <xf numFmtId="1" fontId="0" fillId="891" borderId="0" xfId="0" applyNumberFormat="1" applyFill="1"/>
    <xf numFmtId="1" fontId="0" fillId="892" borderId="0" xfId="0" applyNumberFormat="1" applyFill="1"/>
    <xf numFmtId="1" fontId="0" fillId="893" borderId="0" xfId="0" applyNumberFormat="1" applyFill="1"/>
    <xf numFmtId="1" fontId="0" fillId="894" borderId="0" xfId="0" applyNumberFormat="1" applyFill="1"/>
    <xf numFmtId="1" fontId="0" fillId="895" borderId="0" xfId="0" applyNumberFormat="1" applyFill="1"/>
    <xf numFmtId="1" fontId="0" fillId="896" borderId="0" xfId="0" applyNumberFormat="1" applyFill="1"/>
    <xf numFmtId="1" fontId="0" fillId="897" borderId="0" xfId="0" applyNumberFormat="1" applyFill="1"/>
    <xf numFmtId="1" fontId="0" fillId="898" borderId="0" xfId="0" applyNumberFormat="1" applyFill="1"/>
    <xf numFmtId="1" fontId="0" fillId="899" borderId="0" xfId="0" applyNumberFormat="1" applyFill="1"/>
    <xf numFmtId="1" fontId="0" fillId="900" borderId="0" xfId="0" applyNumberFormat="1" applyFill="1"/>
    <xf numFmtId="1" fontId="0" fillId="901" borderId="0" xfId="0" applyNumberFormat="1" applyFill="1"/>
    <xf numFmtId="1" fontId="0" fillId="902" borderId="0" xfId="0" applyNumberFormat="1" applyFill="1"/>
    <xf numFmtId="1" fontId="0" fillId="903" borderId="0" xfId="0" applyNumberFormat="1" applyFill="1"/>
    <xf numFmtId="1" fontId="0" fillId="904" borderId="0" xfId="0" applyNumberFormat="1" applyFill="1"/>
    <xf numFmtId="1" fontId="0" fillId="905" borderId="0" xfId="0" applyNumberFormat="1" applyFill="1"/>
    <xf numFmtId="1" fontId="0" fillId="906" borderId="0" xfId="0" applyNumberFormat="1" applyFill="1"/>
    <xf numFmtId="1" fontId="0" fillId="907" borderId="0" xfId="0" applyNumberFormat="1" applyFill="1"/>
    <xf numFmtId="1" fontId="0" fillId="908" borderId="0" xfId="0" applyNumberFormat="1" applyFill="1"/>
    <xf numFmtId="1" fontId="0" fillId="909" borderId="0" xfId="0" applyNumberFormat="1" applyFill="1"/>
    <xf numFmtId="1" fontId="0" fillId="910" borderId="0" xfId="0" applyNumberFormat="1" applyFill="1"/>
    <xf numFmtId="1" fontId="0" fillId="911" borderId="0" xfId="0" applyNumberFormat="1" applyFill="1"/>
    <xf numFmtId="1" fontId="0" fillId="912" borderId="0" xfId="0" applyNumberFormat="1" applyFill="1"/>
    <xf numFmtId="1" fontId="0" fillId="913" borderId="0" xfId="0" applyNumberFormat="1" applyFill="1"/>
    <xf numFmtId="1" fontId="0" fillId="914" borderId="0" xfId="0" applyNumberFormat="1" applyFill="1"/>
    <xf numFmtId="1" fontId="0" fillId="915" borderId="0" xfId="0" applyNumberFormat="1" applyFill="1"/>
    <xf numFmtId="1" fontId="0" fillId="916" borderId="0" xfId="0" applyNumberFormat="1" applyFill="1"/>
    <xf numFmtId="1" fontId="0" fillId="917" borderId="0" xfId="0" applyNumberFormat="1" applyFill="1"/>
    <xf numFmtId="1" fontId="0" fillId="918" borderId="0" xfId="0" applyNumberFormat="1" applyFill="1"/>
    <xf numFmtId="1" fontId="0" fillId="919" borderId="0" xfId="0" applyNumberFormat="1" applyFill="1"/>
    <xf numFmtId="1" fontId="0" fillId="920" borderId="0" xfId="0" applyNumberFormat="1" applyFill="1"/>
    <xf numFmtId="1" fontId="0" fillId="921" borderId="0" xfId="0" applyNumberFormat="1" applyFill="1"/>
    <xf numFmtId="1" fontId="0" fillId="922" borderId="0" xfId="0" applyNumberFormat="1" applyFill="1"/>
    <xf numFmtId="1" fontId="0" fillId="923" borderId="0" xfId="0" applyNumberFormat="1" applyFill="1"/>
    <xf numFmtId="1" fontId="0" fillId="924" borderId="0" xfId="0" applyNumberFormat="1" applyFill="1"/>
    <xf numFmtId="1" fontId="0" fillId="925" borderId="0" xfId="0" applyNumberFormat="1" applyFill="1"/>
    <xf numFmtId="1" fontId="0" fillId="926" borderId="0" xfId="0" applyNumberFormat="1" applyFill="1"/>
    <xf numFmtId="1" fontId="0" fillId="927" borderId="0" xfId="0" applyNumberFormat="1" applyFill="1"/>
    <xf numFmtId="1" fontId="0" fillId="928" borderId="0" xfId="0" applyNumberFormat="1" applyFill="1"/>
    <xf numFmtId="1" fontId="0" fillId="929" borderId="0" xfId="0" applyNumberFormat="1" applyFill="1"/>
    <xf numFmtId="1" fontId="0" fillId="930" borderId="0" xfId="0" applyNumberFormat="1" applyFill="1"/>
    <xf numFmtId="1" fontId="0" fillId="931" borderId="0" xfId="0" applyNumberFormat="1" applyFill="1"/>
    <xf numFmtId="1" fontId="0" fillId="932" borderId="0" xfId="0" applyNumberFormat="1" applyFill="1"/>
    <xf numFmtId="1" fontId="0" fillId="933" borderId="0" xfId="0" applyNumberFormat="1" applyFill="1"/>
    <xf numFmtId="1" fontId="0" fillId="934" borderId="0" xfId="0" applyNumberFormat="1" applyFill="1"/>
    <xf numFmtId="1" fontId="0" fillId="935" borderId="0" xfId="0" applyNumberFormat="1" applyFill="1"/>
    <xf numFmtId="1" fontId="0" fillId="936" borderId="0" xfId="0" applyNumberFormat="1" applyFill="1"/>
    <xf numFmtId="1" fontId="0" fillId="937" borderId="0" xfId="0" applyNumberFormat="1" applyFill="1"/>
    <xf numFmtId="1" fontId="0" fillId="938" borderId="0" xfId="0" applyNumberFormat="1" applyFill="1"/>
    <xf numFmtId="1" fontId="0" fillId="939" borderId="0" xfId="0" applyNumberFormat="1" applyFill="1"/>
    <xf numFmtId="1" fontId="0" fillId="940" borderId="0" xfId="0" applyNumberFormat="1" applyFill="1"/>
    <xf numFmtId="1" fontId="0" fillId="941" borderId="0" xfId="0" applyNumberFormat="1" applyFill="1"/>
    <xf numFmtId="1" fontId="0" fillId="942" borderId="0" xfId="0" applyNumberFormat="1" applyFill="1"/>
    <xf numFmtId="1" fontId="0" fillId="943" borderId="0" xfId="0" applyNumberFormat="1" applyFill="1"/>
    <xf numFmtId="1" fontId="0" fillId="944" borderId="0" xfId="0" applyNumberFormat="1" applyFill="1"/>
    <xf numFmtId="1" fontId="0" fillId="945" borderId="0" xfId="0" applyNumberFormat="1" applyFill="1"/>
    <xf numFmtId="1" fontId="0" fillId="946" borderId="0" xfId="0" applyNumberFormat="1" applyFill="1"/>
    <xf numFmtId="1" fontId="0" fillId="947" borderId="0" xfId="0" applyNumberFormat="1" applyFill="1"/>
    <xf numFmtId="1" fontId="0" fillId="948" borderId="0" xfId="0" applyNumberFormat="1" applyFill="1"/>
    <xf numFmtId="1" fontId="0" fillId="949" borderId="0" xfId="0" applyNumberFormat="1" applyFill="1"/>
    <xf numFmtId="1" fontId="0" fillId="950" borderId="0" xfId="0" applyNumberFormat="1" applyFill="1"/>
    <xf numFmtId="1" fontId="0" fillId="951" borderId="0" xfId="0" applyNumberFormat="1" applyFill="1"/>
    <xf numFmtId="1" fontId="0" fillId="952" borderId="0" xfId="0" applyNumberFormat="1" applyFill="1"/>
    <xf numFmtId="1" fontId="0" fillId="953" borderId="0" xfId="0" applyNumberFormat="1" applyFill="1"/>
    <xf numFmtId="1" fontId="0" fillId="954" borderId="0" xfId="0" applyNumberFormat="1" applyFill="1"/>
    <xf numFmtId="1" fontId="0" fillId="955" borderId="0" xfId="0" applyNumberFormat="1" applyFill="1"/>
    <xf numFmtId="1" fontId="0" fillId="956" borderId="0" xfId="0" applyNumberFormat="1" applyFill="1"/>
    <xf numFmtId="1" fontId="0" fillId="957" borderId="0" xfId="0" applyNumberFormat="1" applyFill="1"/>
    <xf numFmtId="1" fontId="0" fillId="958" borderId="0" xfId="0" applyNumberFormat="1" applyFill="1"/>
    <xf numFmtId="1" fontId="0" fillId="959" borderId="0" xfId="0" applyNumberFormat="1" applyFill="1"/>
    <xf numFmtId="1" fontId="0" fillId="960" borderId="0" xfId="0" applyNumberFormat="1" applyFill="1"/>
    <xf numFmtId="1" fontId="0" fillId="961" borderId="0" xfId="0" applyNumberFormat="1" applyFill="1"/>
    <xf numFmtId="1" fontId="0" fillId="962" borderId="0" xfId="0" applyNumberFormat="1" applyFill="1"/>
    <xf numFmtId="1" fontId="0" fillId="963" borderId="0" xfId="0" applyNumberFormat="1" applyFill="1"/>
    <xf numFmtId="1" fontId="0" fillId="964" borderId="0" xfId="0" applyNumberFormat="1" applyFill="1"/>
    <xf numFmtId="1" fontId="0" fillId="965" borderId="0" xfId="0" applyNumberFormat="1" applyFill="1"/>
    <xf numFmtId="1" fontId="0" fillId="966" borderId="0" xfId="0" applyNumberFormat="1" applyFill="1"/>
    <xf numFmtId="1" fontId="0" fillId="967" borderId="0" xfId="0" applyNumberFormat="1" applyFill="1"/>
    <xf numFmtId="1" fontId="0" fillId="968" borderId="0" xfId="0" applyNumberFormat="1" applyFill="1"/>
    <xf numFmtId="1" fontId="0" fillId="969" borderId="0" xfId="0" applyNumberFormat="1" applyFill="1"/>
    <xf numFmtId="1" fontId="0" fillId="970" borderId="0" xfId="0" applyNumberFormat="1" applyFill="1"/>
    <xf numFmtId="1" fontId="0" fillId="971" borderId="0" xfId="0" applyNumberFormat="1" applyFill="1"/>
    <xf numFmtId="1" fontId="0" fillId="972" borderId="0" xfId="0" applyNumberFormat="1" applyFill="1"/>
    <xf numFmtId="1" fontId="0" fillId="973" borderId="0" xfId="0" applyNumberFormat="1" applyFill="1"/>
    <xf numFmtId="1" fontId="0" fillId="974" borderId="0" xfId="0" applyNumberFormat="1" applyFill="1"/>
    <xf numFmtId="1" fontId="0" fillId="975" borderId="0" xfId="0" applyNumberFormat="1" applyFill="1"/>
    <xf numFmtId="1" fontId="0" fillId="976" borderId="0" xfId="0" applyNumberFormat="1" applyFill="1"/>
    <xf numFmtId="1" fontId="0" fillId="977" borderId="0" xfId="0" applyNumberFormat="1" applyFill="1"/>
    <xf numFmtId="1" fontId="0" fillId="978" borderId="0" xfId="0" applyNumberFormat="1" applyFill="1"/>
    <xf numFmtId="1" fontId="0" fillId="979" borderId="0" xfId="0" applyNumberFormat="1" applyFill="1"/>
    <xf numFmtId="1" fontId="0" fillId="980" borderId="0" xfId="0" applyNumberFormat="1" applyFill="1"/>
    <xf numFmtId="1" fontId="0" fillId="981" borderId="0" xfId="0" applyNumberFormat="1" applyFill="1"/>
    <xf numFmtId="1" fontId="0" fillId="982" borderId="0" xfId="0" applyNumberFormat="1" applyFill="1"/>
    <xf numFmtId="1" fontId="0" fillId="983" borderId="0" xfId="0" applyNumberFormat="1" applyFill="1"/>
    <xf numFmtId="1" fontId="0" fillId="984" borderId="0" xfId="0" applyNumberFormat="1" applyFill="1"/>
    <xf numFmtId="1" fontId="0" fillId="985" borderId="0" xfId="0" applyNumberFormat="1" applyFill="1"/>
    <xf numFmtId="1" fontId="0" fillId="986" borderId="0" xfId="0" applyNumberFormat="1" applyFill="1"/>
    <xf numFmtId="1" fontId="0" fillId="987" borderId="0" xfId="0" applyNumberFormat="1" applyFill="1"/>
    <xf numFmtId="1" fontId="0" fillId="988" borderId="0" xfId="0" applyNumberFormat="1" applyFill="1"/>
    <xf numFmtId="1" fontId="0" fillId="989" borderId="0" xfId="0" applyNumberFormat="1" applyFill="1"/>
    <xf numFmtId="1" fontId="0" fillId="990" borderId="0" xfId="0" applyNumberFormat="1" applyFill="1"/>
    <xf numFmtId="1" fontId="0" fillId="991" borderId="0" xfId="0" applyNumberFormat="1" applyFill="1"/>
    <xf numFmtId="1" fontId="0" fillId="992" borderId="0" xfId="0" applyNumberFormat="1" applyFill="1"/>
    <xf numFmtId="1" fontId="0" fillId="993" borderId="0" xfId="0" applyNumberFormat="1" applyFill="1"/>
    <xf numFmtId="1" fontId="0" fillId="994" borderId="0" xfId="0" applyNumberFormat="1" applyFill="1"/>
    <xf numFmtId="1" fontId="0" fillId="995" borderId="0" xfId="0" applyNumberFormat="1" applyFill="1"/>
    <xf numFmtId="1" fontId="0" fillId="996" borderId="0" xfId="0" applyNumberFormat="1" applyFill="1"/>
    <xf numFmtId="1" fontId="0" fillId="997" borderId="0" xfId="0" applyNumberFormat="1" applyFill="1"/>
    <xf numFmtId="1" fontId="0" fillId="998" borderId="0" xfId="0" applyNumberFormat="1" applyFill="1"/>
    <xf numFmtId="1" fontId="0" fillId="999" borderId="0" xfId="0" applyNumberFormat="1" applyFill="1"/>
    <xf numFmtId="1" fontId="0" fillId="1000" borderId="0" xfId="0" applyNumberFormat="1" applyFill="1"/>
    <xf numFmtId="1" fontId="0" fillId="1001" borderId="0" xfId="0" applyNumberFormat="1" applyFill="1"/>
    <xf numFmtId="1" fontId="0" fillId="1002" borderId="0" xfId="0" applyNumberFormat="1" applyFill="1"/>
    <xf numFmtId="1" fontId="0" fillId="1003" borderId="0" xfId="0" applyNumberFormat="1" applyFill="1"/>
    <xf numFmtId="1" fontId="0" fillId="1004" borderId="0" xfId="0" applyNumberFormat="1" applyFill="1"/>
    <xf numFmtId="1" fontId="0" fillId="1005" borderId="0" xfId="0" applyNumberFormat="1" applyFill="1"/>
    <xf numFmtId="1" fontId="0" fillId="1006" borderId="0" xfId="0" applyNumberFormat="1" applyFill="1"/>
    <xf numFmtId="1" fontId="0" fillId="1007" borderId="0" xfId="0" applyNumberFormat="1" applyFill="1"/>
    <xf numFmtId="1" fontId="0" fillId="1008" borderId="0" xfId="0" applyNumberFormat="1" applyFill="1"/>
    <xf numFmtId="1" fontId="0" fillId="1009" borderId="0" xfId="0" applyNumberFormat="1" applyFill="1"/>
    <xf numFmtId="1" fontId="0" fillId="1010" borderId="0" xfId="0" applyNumberFormat="1" applyFill="1"/>
    <xf numFmtId="1" fontId="0" fillId="1011" borderId="0" xfId="0" applyNumberFormat="1" applyFill="1"/>
    <xf numFmtId="1" fontId="0" fillId="1012" borderId="0" xfId="0" applyNumberFormat="1" applyFill="1"/>
    <xf numFmtId="1" fontId="0" fillId="1013" borderId="0" xfId="0" applyNumberFormat="1" applyFill="1"/>
    <xf numFmtId="1" fontId="0" fillId="1014" borderId="0" xfId="0" applyNumberFormat="1" applyFill="1"/>
    <xf numFmtId="1" fontId="0" fillId="1015" borderId="0" xfId="0" applyNumberFormat="1" applyFill="1"/>
    <xf numFmtId="1" fontId="0" fillId="1016" borderId="0" xfId="0" applyNumberFormat="1" applyFill="1"/>
    <xf numFmtId="1" fontId="0" fillId="1017" borderId="0" xfId="0" applyNumberFormat="1" applyFill="1"/>
    <xf numFmtId="1" fontId="0" fillId="1018" borderId="0" xfId="0" applyNumberFormat="1" applyFill="1"/>
    <xf numFmtId="1" fontId="0" fillId="1019" borderId="0" xfId="0" applyNumberFormat="1" applyFill="1"/>
    <xf numFmtId="1" fontId="0" fillId="1020" borderId="0" xfId="0" applyNumberFormat="1" applyFill="1"/>
    <xf numFmtId="1" fontId="0" fillId="1021" borderId="0" xfId="0" applyNumberFormat="1" applyFill="1"/>
    <xf numFmtId="1" fontId="0" fillId="1022" borderId="0" xfId="0" applyNumberFormat="1" applyFill="1"/>
    <xf numFmtId="1" fontId="0" fillId="1023" borderId="0" xfId="0" applyNumberFormat="1" applyFill="1"/>
    <xf numFmtId="1" fontId="0" fillId="1024" borderId="0" xfId="0" applyNumberFormat="1" applyFill="1"/>
    <xf numFmtId="1" fontId="0" fillId="1025" borderId="0" xfId="0" applyNumberFormat="1" applyFill="1"/>
    <xf numFmtId="1" fontId="0" fillId="1026" borderId="0" xfId="0" applyNumberFormat="1" applyFill="1"/>
    <xf numFmtId="1" fontId="0" fillId="1027" borderId="0" xfId="0" applyNumberFormat="1" applyFill="1"/>
    <xf numFmtId="1" fontId="0" fillId="1028" borderId="0" xfId="0" applyNumberFormat="1" applyFill="1"/>
    <xf numFmtId="1" fontId="0" fillId="1029" borderId="0" xfId="0" applyNumberFormat="1" applyFill="1"/>
    <xf numFmtId="1" fontId="0" fillId="1030" borderId="0" xfId="0" applyNumberFormat="1" applyFill="1"/>
    <xf numFmtId="1" fontId="0" fillId="1031" borderId="0" xfId="0" applyNumberFormat="1" applyFill="1"/>
    <xf numFmtId="1" fontId="0" fillId="1032" borderId="0" xfId="0" applyNumberFormat="1" applyFill="1"/>
    <xf numFmtId="1" fontId="0" fillId="1033" borderId="0" xfId="0" applyNumberFormat="1" applyFill="1"/>
    <xf numFmtId="1" fontId="0" fillId="1034" borderId="0" xfId="0" applyNumberFormat="1" applyFill="1"/>
    <xf numFmtId="1" fontId="0" fillId="1035" borderId="0" xfId="0" applyNumberFormat="1" applyFill="1"/>
    <xf numFmtId="1" fontId="0" fillId="1036" borderId="0" xfId="0" applyNumberFormat="1" applyFill="1"/>
    <xf numFmtId="1" fontId="0" fillId="1037" borderId="0" xfId="0" applyNumberFormat="1" applyFill="1"/>
    <xf numFmtId="1" fontId="0" fillId="1038" borderId="0" xfId="0" applyNumberFormat="1" applyFill="1"/>
    <xf numFmtId="1" fontId="0" fillId="1039" borderId="0" xfId="0" applyNumberFormat="1" applyFill="1"/>
    <xf numFmtId="1" fontId="0" fillId="1040" borderId="0" xfId="0" applyNumberFormat="1" applyFill="1"/>
    <xf numFmtId="1" fontId="0" fillId="1041" borderId="0" xfId="0" applyNumberFormat="1" applyFill="1"/>
    <xf numFmtId="1" fontId="0" fillId="1042" borderId="0" xfId="0" applyNumberFormat="1" applyFill="1"/>
    <xf numFmtId="1" fontId="0" fillId="1043" borderId="0" xfId="0" applyNumberFormat="1" applyFill="1"/>
    <xf numFmtId="1" fontId="0" fillId="1044" borderId="0" xfId="0" applyNumberFormat="1" applyFill="1"/>
    <xf numFmtId="1" fontId="0" fillId="1045" borderId="0" xfId="0" applyNumberFormat="1" applyFill="1"/>
    <xf numFmtId="1" fontId="0" fillId="1046" borderId="0" xfId="0" applyNumberFormat="1" applyFill="1"/>
    <xf numFmtId="1" fontId="0" fillId="1047" borderId="0" xfId="0" applyNumberFormat="1" applyFill="1"/>
    <xf numFmtId="1" fontId="0" fillId="1048" borderId="0" xfId="0" applyNumberFormat="1" applyFill="1"/>
    <xf numFmtId="1" fontId="0" fillId="1049" borderId="0" xfId="0" applyNumberFormat="1" applyFill="1"/>
    <xf numFmtId="1" fontId="0" fillId="1050" borderId="0" xfId="0" applyNumberFormat="1" applyFill="1"/>
    <xf numFmtId="1" fontId="0" fillId="1051" borderId="0" xfId="0" applyNumberFormat="1" applyFill="1"/>
    <xf numFmtId="1" fontId="0" fillId="1052" borderId="0" xfId="0" applyNumberFormat="1" applyFill="1"/>
    <xf numFmtId="1" fontId="0" fillId="1053" borderId="0" xfId="0" applyNumberFormat="1" applyFill="1"/>
    <xf numFmtId="1" fontId="0" fillId="1054" borderId="0" xfId="0" applyNumberFormat="1" applyFill="1"/>
    <xf numFmtId="1" fontId="0" fillId="1055" borderId="0" xfId="0" applyNumberFormat="1" applyFill="1"/>
    <xf numFmtId="1" fontId="0" fillId="1056" borderId="0" xfId="0" applyNumberFormat="1" applyFill="1"/>
    <xf numFmtId="1" fontId="0" fillId="1057" borderId="0" xfId="0" applyNumberFormat="1" applyFill="1"/>
    <xf numFmtId="1" fontId="0" fillId="1058" borderId="0" xfId="0" applyNumberFormat="1" applyFill="1"/>
    <xf numFmtId="1" fontId="0" fillId="1059" borderId="0" xfId="0" applyNumberFormat="1" applyFill="1"/>
    <xf numFmtId="1" fontId="0" fillId="1060" borderId="0" xfId="0" applyNumberFormat="1" applyFill="1"/>
    <xf numFmtId="1" fontId="0" fillId="1061" borderId="0" xfId="0" applyNumberFormat="1" applyFill="1"/>
    <xf numFmtId="1" fontId="0" fillId="1062" borderId="0" xfId="0" applyNumberFormat="1" applyFill="1"/>
    <xf numFmtId="1" fontId="0" fillId="1063" borderId="0" xfId="0" applyNumberFormat="1" applyFill="1"/>
    <xf numFmtId="1" fontId="0" fillId="1064" borderId="0" xfId="0" applyNumberFormat="1" applyFill="1"/>
    <xf numFmtId="1" fontId="0" fillId="1065" borderId="0" xfId="0" applyNumberFormat="1" applyFill="1"/>
    <xf numFmtId="1" fontId="0" fillId="1066" borderId="0" xfId="0" applyNumberFormat="1" applyFill="1"/>
    <xf numFmtId="1" fontId="0" fillId="1067" borderId="0" xfId="0" applyNumberFormat="1" applyFill="1"/>
    <xf numFmtId="1" fontId="0" fillId="1068" borderId="0" xfId="0" applyNumberFormat="1" applyFill="1"/>
    <xf numFmtId="1" fontId="0" fillId="1069" borderId="0" xfId="0" applyNumberFormat="1" applyFill="1"/>
    <xf numFmtId="1" fontId="0" fillId="1070" borderId="0" xfId="0" applyNumberFormat="1" applyFill="1"/>
    <xf numFmtId="1" fontId="0" fillId="1071" borderId="0" xfId="0" applyNumberFormat="1" applyFill="1"/>
    <xf numFmtId="1" fontId="0" fillId="1072" borderId="0" xfId="0" applyNumberFormat="1" applyFill="1"/>
    <xf numFmtId="1" fontId="0" fillId="1073" borderId="0" xfId="0" applyNumberFormat="1" applyFill="1"/>
    <xf numFmtId="1" fontId="0" fillId="1074" borderId="0" xfId="0" applyNumberFormat="1" applyFill="1"/>
    <xf numFmtId="1" fontId="0" fillId="1075" borderId="0" xfId="0" applyNumberFormat="1" applyFill="1"/>
    <xf numFmtId="1" fontId="0" fillId="1076" borderId="0" xfId="0" applyNumberFormat="1" applyFill="1"/>
    <xf numFmtId="1" fontId="0" fillId="1077" borderId="0" xfId="0" applyNumberFormat="1" applyFill="1"/>
    <xf numFmtId="1" fontId="0" fillId="1078" borderId="0" xfId="0" applyNumberFormat="1" applyFill="1"/>
    <xf numFmtId="1" fontId="0" fillId="1079" borderId="0" xfId="0" applyNumberFormat="1" applyFill="1"/>
    <xf numFmtId="1" fontId="0" fillId="1080" borderId="0" xfId="0" applyNumberFormat="1" applyFill="1"/>
    <xf numFmtId="1" fontId="0" fillId="1081" borderId="0" xfId="0" applyNumberFormat="1" applyFill="1"/>
    <xf numFmtId="1" fontId="0" fillId="1082" borderId="0" xfId="0" applyNumberFormat="1" applyFill="1"/>
    <xf numFmtId="1" fontId="0" fillId="1083" borderId="0" xfId="0" applyNumberFormat="1" applyFill="1"/>
    <xf numFmtId="1" fontId="0" fillId="1084" borderId="0" xfId="0" applyNumberFormat="1" applyFill="1"/>
    <xf numFmtId="1" fontId="0" fillId="1085" borderId="0" xfId="0" applyNumberFormat="1" applyFill="1"/>
    <xf numFmtId="0" fontId="5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Alignment="1">
      <alignment horizontal="left" vertical="center"/>
    </xf>
    <xf numFmtId="0" fontId="6" fillId="0" borderId="0" xfId="1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13" borderId="1" xfId="0" applyFont="1" applyFill="1" applyBorder="1" applyAlignment="1">
      <alignment vertic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5" fillId="1086" borderId="1" xfId="0" applyFont="1" applyFill="1" applyBorder="1" applyAlignment="1">
      <alignment vertical="center"/>
    </xf>
    <xf numFmtId="0" fontId="5" fillId="1087" borderId="1" xfId="0" applyFont="1" applyFill="1" applyBorder="1" applyAlignment="1">
      <alignment vertical="center"/>
    </xf>
    <xf numFmtId="1" fontId="0" fillId="1088" borderId="0" xfId="0" applyNumberFormat="1" applyFill="1"/>
    <xf numFmtId="0" fontId="5" fillId="2" borderId="1" xfId="0" applyFont="1" applyFill="1" applyBorder="1" applyAlignment="1">
      <alignment vertical="center"/>
    </xf>
    <xf numFmtId="1" fontId="0" fillId="1089" borderId="0" xfId="0" applyNumberFormat="1" applyFill="1"/>
    <xf numFmtId="0" fontId="5" fillId="306" borderId="1" xfId="0" applyFont="1" applyFill="1" applyBorder="1" applyAlignment="1">
      <alignment vertical="center"/>
    </xf>
    <xf numFmtId="1" fontId="0" fillId="1090" borderId="0" xfId="0" applyNumberFormat="1" applyFill="1"/>
    <xf numFmtId="1" fontId="0" fillId="1091" borderId="0" xfId="0" applyNumberFormat="1" applyFill="1"/>
    <xf numFmtId="0" fontId="5" fillId="1091" borderId="1" xfId="0" applyFont="1" applyFill="1" applyBorder="1" applyAlignment="1">
      <alignment vertical="center"/>
    </xf>
    <xf numFmtId="3" fontId="5" fillId="156" borderId="1" xfId="0" applyNumberFormat="1" applyFont="1" applyFill="1" applyBorder="1" applyAlignment="1">
      <alignment vertical="center"/>
    </xf>
    <xf numFmtId="3" fontId="5" fillId="19" borderId="1" xfId="0" applyNumberFormat="1" applyFont="1" applyFill="1" applyBorder="1" applyAlignment="1">
      <alignment vertical="center"/>
    </xf>
    <xf numFmtId="0" fontId="5" fillId="113" borderId="1" xfId="0" applyFont="1" applyFill="1" applyBorder="1" applyAlignment="1">
      <alignment vertical="center"/>
    </xf>
    <xf numFmtId="3" fontId="5" fillId="85" borderId="1" xfId="0" applyNumberFormat="1" applyFont="1" applyFill="1" applyBorder="1" applyAlignment="1">
      <alignment vertical="center"/>
    </xf>
    <xf numFmtId="3" fontId="5" fillId="614" borderId="1" xfId="0" applyNumberFormat="1" applyFont="1" applyFill="1" applyBorder="1" applyAlignment="1">
      <alignment vertical="center"/>
    </xf>
    <xf numFmtId="3" fontId="5" fillId="462" borderId="1" xfId="0" applyNumberFormat="1" applyFont="1" applyFill="1" applyBorder="1" applyAlignment="1">
      <alignment vertical="center"/>
    </xf>
    <xf numFmtId="3" fontId="5" fillId="113" borderId="1" xfId="0" applyNumberFormat="1" applyFont="1" applyFill="1" applyBorder="1" applyAlignment="1">
      <alignment vertical="center"/>
    </xf>
    <xf numFmtId="3" fontId="5" fillId="154" borderId="1" xfId="0" applyNumberFormat="1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1">
    <dxf>
      <fill>
        <patternFill patternType="solid">
          <fgColor rgb="FF2C2C2D"/>
          <bgColor rgb="FF00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161868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ECA8D-B7AF-4D92-8DB1-0877EDC23BBA}">
  <sheetPr codeName="Sheet1"/>
  <dimension ref="A1:U68"/>
  <sheetViews>
    <sheetView tabSelected="1" workbookViewId="0">
      <selection activeCell="P2" sqref="P2"/>
    </sheetView>
  </sheetViews>
  <sheetFormatPr defaultRowHeight="12" x14ac:dyDescent="0.2"/>
  <cols>
    <col min="1" max="1" width="28.5703125" style="1092" customWidth="1"/>
    <col min="2" max="2" width="16.42578125" style="1092" bestFit="1" customWidth="1"/>
    <col min="3" max="3" width="16.28515625" style="1092" bestFit="1" customWidth="1"/>
    <col min="4" max="4" width="14.5703125" style="1092" bestFit="1" customWidth="1"/>
    <col min="5" max="5" width="12" style="1092" bestFit="1" customWidth="1"/>
    <col min="6" max="6" width="11" style="1092" customWidth="1"/>
    <col min="7" max="7" width="32" style="1092" bestFit="1" customWidth="1"/>
    <col min="8" max="8" width="19.42578125" style="1097" bestFit="1" customWidth="1"/>
    <col min="9" max="9" width="28.7109375" style="1092" bestFit="1" customWidth="1"/>
    <col min="10" max="10" width="17.28515625" style="1092" bestFit="1" customWidth="1"/>
    <col min="11" max="11" width="9.5703125" style="1091" customWidth="1"/>
    <col min="12" max="12" width="12.5703125" style="1091" bestFit="1" customWidth="1"/>
    <col min="13" max="13" width="9.5703125" style="1091" bestFit="1" customWidth="1"/>
    <col min="14" max="14" width="9.140625" style="1091"/>
    <col min="15" max="15" width="10.140625" style="1091" bestFit="1" customWidth="1"/>
    <col min="16" max="16" width="15" style="1095" bestFit="1" customWidth="1"/>
    <col min="17" max="17" width="9.140625" style="1092" customWidth="1"/>
    <col min="18" max="18" width="20.7109375" style="1092" bestFit="1" customWidth="1"/>
    <col min="19" max="19" width="10.85546875" style="1096" bestFit="1" customWidth="1"/>
    <col min="20" max="20" width="9.140625" style="1093"/>
    <col min="21" max="21" width="22.140625" style="1092" customWidth="1"/>
    <col min="22" max="16384" width="9.140625" style="1092"/>
  </cols>
  <sheetData>
    <row r="1" spans="1:21" x14ac:dyDescent="0.2">
      <c r="A1" s="1092" t="s">
        <v>3287</v>
      </c>
      <c r="B1" s="1091" t="s">
        <v>3270</v>
      </c>
      <c r="C1" s="1091" t="s">
        <v>3299</v>
      </c>
      <c r="D1" s="1091" t="s">
        <v>3300</v>
      </c>
      <c r="E1" s="1091" t="s">
        <v>3301</v>
      </c>
      <c r="F1" s="1091" t="s">
        <v>3302</v>
      </c>
      <c r="G1" s="1091" t="s">
        <v>3303</v>
      </c>
      <c r="H1" s="1097" t="s">
        <v>3304</v>
      </c>
      <c r="I1" s="1091" t="s">
        <v>3305</v>
      </c>
      <c r="J1" s="1091" t="s">
        <v>3306</v>
      </c>
      <c r="K1" s="1091" t="s">
        <v>3307</v>
      </c>
      <c r="L1" s="1091" t="s">
        <v>3331</v>
      </c>
      <c r="M1" s="1091" t="s">
        <v>3308</v>
      </c>
      <c r="N1" s="1091" t="s">
        <v>3264</v>
      </c>
      <c r="O1" s="1091" t="s">
        <v>3265</v>
      </c>
      <c r="P1" s="1095" t="s">
        <v>3309</v>
      </c>
      <c r="Q1" s="1091" t="s">
        <v>3310</v>
      </c>
      <c r="R1" s="1091" t="s">
        <v>3311</v>
      </c>
      <c r="S1" s="1099" t="s">
        <v>2566</v>
      </c>
      <c r="T1" s="1093" t="s">
        <v>3244</v>
      </c>
      <c r="U1" s="1092" t="s">
        <v>3312</v>
      </c>
    </row>
    <row r="2" spans="1:21" ht="84" x14ac:dyDescent="0.2">
      <c r="A2" s="1092" t="s">
        <v>3360</v>
      </c>
      <c r="B2" s="1091" t="s">
        <v>3318</v>
      </c>
      <c r="C2" s="1091" t="s">
        <v>3313</v>
      </c>
      <c r="D2" s="1091" t="s">
        <v>3314</v>
      </c>
      <c r="E2" s="1091" t="s">
        <v>3315</v>
      </c>
      <c r="F2" s="1091" t="s">
        <v>3316</v>
      </c>
      <c r="G2" s="1094" t="s">
        <v>3317</v>
      </c>
      <c r="H2" s="1097" t="s">
        <v>3359</v>
      </c>
      <c r="I2" s="1091" t="s">
        <v>3348</v>
      </c>
      <c r="J2" s="1091" t="s">
        <v>3319</v>
      </c>
      <c r="L2" s="1091" t="s">
        <v>3321</v>
      </c>
      <c r="M2" s="1091" t="s">
        <v>3322</v>
      </c>
      <c r="N2" s="1098">
        <v>12</v>
      </c>
      <c r="P2" s="1095" t="s">
        <v>3361</v>
      </c>
      <c r="Q2" s="1091"/>
      <c r="R2" s="1091" t="s">
        <v>1361</v>
      </c>
      <c r="S2" s="1113">
        <v>161122115</v>
      </c>
    </row>
    <row r="3" spans="1:21" ht="84" x14ac:dyDescent="0.2">
      <c r="A3" s="1092" t="s">
        <v>3362</v>
      </c>
      <c r="B3" s="1091" t="s">
        <v>3328</v>
      </c>
      <c r="C3" s="1091" t="s">
        <v>3323</v>
      </c>
      <c r="D3" s="1091" t="s">
        <v>3324</v>
      </c>
      <c r="E3" s="1091"/>
      <c r="F3" s="1091" t="s">
        <v>3325</v>
      </c>
      <c r="G3" s="1094" t="s">
        <v>3326</v>
      </c>
      <c r="H3" s="1097" t="s">
        <v>3363</v>
      </c>
      <c r="I3" s="1091" t="s">
        <v>3329</v>
      </c>
      <c r="J3" s="1091" t="s">
        <v>3278</v>
      </c>
      <c r="L3" s="1091" t="s">
        <v>3327</v>
      </c>
      <c r="M3" s="1091" t="s">
        <v>3332</v>
      </c>
      <c r="N3" s="1098">
        <v>16</v>
      </c>
      <c r="O3" s="1091" t="s">
        <v>3330</v>
      </c>
      <c r="P3" s="1095" t="s">
        <v>3364</v>
      </c>
      <c r="Q3" s="1091"/>
      <c r="R3" s="1091" t="s">
        <v>327</v>
      </c>
      <c r="S3" s="1114">
        <v>242242242</v>
      </c>
    </row>
    <row r="4" spans="1:21" ht="84" x14ac:dyDescent="0.2">
      <c r="A4" s="1092" t="s">
        <v>3378</v>
      </c>
      <c r="B4" s="1091" t="s">
        <v>3350</v>
      </c>
      <c r="C4" s="1091" t="s">
        <v>3351</v>
      </c>
      <c r="D4" s="1091" t="s">
        <v>3352</v>
      </c>
      <c r="E4" s="1091" t="s">
        <v>3354</v>
      </c>
      <c r="F4" s="1091" t="s">
        <v>3353</v>
      </c>
      <c r="G4" s="1094" t="s">
        <v>3355</v>
      </c>
      <c r="H4" s="1097" t="s">
        <v>3365</v>
      </c>
      <c r="I4" s="1091" t="s">
        <v>3356</v>
      </c>
      <c r="J4" s="1091" t="s">
        <v>3278</v>
      </c>
      <c r="L4" s="1091" t="s">
        <v>3327</v>
      </c>
      <c r="M4" s="1091" t="s">
        <v>3357</v>
      </c>
      <c r="N4" s="1098">
        <v>18</v>
      </c>
      <c r="O4" s="1091" t="s">
        <v>3358</v>
      </c>
      <c r="P4" s="1095" t="s">
        <v>3366</v>
      </c>
      <c r="Q4" s="1091"/>
      <c r="R4" s="1091" t="s">
        <v>628</v>
      </c>
      <c r="S4" s="1116" t="s">
        <v>1800</v>
      </c>
      <c r="U4" s="1092" t="s">
        <v>3377</v>
      </c>
    </row>
    <row r="5" spans="1:21" ht="84" x14ac:dyDescent="0.2">
      <c r="A5" s="1092" t="s">
        <v>3367</v>
      </c>
      <c r="B5" s="1091" t="s">
        <v>3333</v>
      </c>
      <c r="C5" s="1091" t="s">
        <v>3334</v>
      </c>
      <c r="D5" s="1091" t="s">
        <v>3335</v>
      </c>
      <c r="E5" s="1091" t="s">
        <v>3336</v>
      </c>
      <c r="F5" s="1091"/>
      <c r="G5" s="1094" t="s">
        <v>3337</v>
      </c>
      <c r="H5" s="1097" t="s">
        <v>3368</v>
      </c>
      <c r="I5" s="1091" t="s">
        <v>3340</v>
      </c>
      <c r="J5" s="1091" t="s">
        <v>3271</v>
      </c>
      <c r="L5" s="1091" t="s">
        <v>3338</v>
      </c>
      <c r="M5" s="1091" t="s">
        <v>3349</v>
      </c>
      <c r="N5" s="1098">
        <v>10</v>
      </c>
      <c r="O5" s="1091" t="s">
        <v>3339</v>
      </c>
      <c r="P5" s="1095" t="s">
        <v>3369</v>
      </c>
      <c r="Q5" s="1091"/>
      <c r="R5" s="1091" t="s">
        <v>15</v>
      </c>
      <c r="S5" s="1115" t="s">
        <v>1656</v>
      </c>
    </row>
    <row r="6" spans="1:21" ht="84" x14ac:dyDescent="0.2">
      <c r="A6" s="1092" t="s">
        <v>3370</v>
      </c>
      <c r="B6" s="1091" t="s">
        <v>3333</v>
      </c>
      <c r="C6" s="1091" t="s">
        <v>3334</v>
      </c>
      <c r="D6" s="1091" t="s">
        <v>3335</v>
      </c>
      <c r="E6" s="1091" t="s">
        <v>3336</v>
      </c>
      <c r="F6" s="1091"/>
      <c r="G6" s="1094" t="s">
        <v>3337</v>
      </c>
      <c r="H6" s="1097" t="s">
        <v>3368</v>
      </c>
      <c r="I6" s="1091" t="s">
        <v>3340</v>
      </c>
      <c r="J6" s="1091" t="s">
        <v>3271</v>
      </c>
      <c r="L6" s="1091" t="s">
        <v>3338</v>
      </c>
      <c r="M6" s="1091" t="s">
        <v>3341</v>
      </c>
      <c r="N6" s="1098">
        <v>10</v>
      </c>
      <c r="O6" s="1091" t="s">
        <v>3339</v>
      </c>
      <c r="P6" s="1095" t="s">
        <v>3371</v>
      </c>
      <c r="Q6" s="1091"/>
      <c r="R6" s="1091" t="s">
        <v>15</v>
      </c>
      <c r="S6" s="1111" t="s">
        <v>1656</v>
      </c>
    </row>
    <row r="7" spans="1:21" ht="72" x14ac:dyDescent="0.2">
      <c r="A7" s="1092" t="s">
        <v>3372</v>
      </c>
      <c r="B7" s="1091" t="s">
        <v>3342</v>
      </c>
      <c r="C7" s="1091" t="s">
        <v>3343</v>
      </c>
      <c r="D7" s="1091"/>
      <c r="E7" s="1091"/>
      <c r="F7" s="1091"/>
      <c r="G7" s="1094"/>
      <c r="H7" s="1097" t="s">
        <v>3373</v>
      </c>
      <c r="I7" s="1091" t="s">
        <v>3345</v>
      </c>
      <c r="J7" s="1091" t="s">
        <v>3275</v>
      </c>
      <c r="N7" s="1098"/>
      <c r="O7" s="1091" t="s">
        <v>3346</v>
      </c>
      <c r="P7" s="1095" t="s">
        <v>3374</v>
      </c>
      <c r="Q7" s="1091"/>
      <c r="R7" s="1091" t="s">
        <v>15</v>
      </c>
      <c r="S7" s="1111" t="s">
        <v>1656</v>
      </c>
    </row>
    <row r="8" spans="1:21" ht="72" x14ac:dyDescent="0.2">
      <c r="A8" s="1092" t="s">
        <v>3375</v>
      </c>
      <c r="B8" s="1091" t="s">
        <v>3344</v>
      </c>
      <c r="C8" s="1091" t="s">
        <v>3343</v>
      </c>
      <c r="D8" s="1091"/>
      <c r="E8" s="1091"/>
      <c r="F8" s="1091"/>
      <c r="G8" s="1094"/>
      <c r="H8" s="1097" t="s">
        <v>3373</v>
      </c>
      <c r="I8" s="1091" t="s">
        <v>3345</v>
      </c>
      <c r="J8" s="1091" t="s">
        <v>3275</v>
      </c>
      <c r="N8" s="1098"/>
      <c r="O8" s="1091" t="s">
        <v>3347</v>
      </c>
      <c r="P8" s="1095" t="s">
        <v>3376</v>
      </c>
      <c r="Q8" s="1091"/>
      <c r="R8" s="1091" t="s">
        <v>15</v>
      </c>
      <c r="S8" s="1111" t="s">
        <v>1656</v>
      </c>
    </row>
    <row r="9" spans="1:21" x14ac:dyDescent="0.2">
      <c r="B9" s="1091"/>
      <c r="C9" s="1091"/>
      <c r="D9" s="1091"/>
      <c r="I9" s="1091"/>
      <c r="J9" s="1091"/>
      <c r="Q9" s="1091"/>
      <c r="R9" s="1091" t="s">
        <v>957</v>
      </c>
      <c r="S9" s="1112">
        <v>245204176</v>
      </c>
    </row>
    <row r="10" spans="1:21" x14ac:dyDescent="0.2">
      <c r="B10" s="1091"/>
      <c r="C10" s="1091"/>
      <c r="D10" s="1091"/>
      <c r="I10" s="1091"/>
      <c r="J10" s="1091"/>
      <c r="Q10" s="1091"/>
      <c r="R10" s="1091"/>
      <c r="S10" s="1108"/>
    </row>
    <row r="11" spans="1:21" x14ac:dyDescent="0.2">
      <c r="B11" s="1091"/>
      <c r="C11" s="1091"/>
      <c r="D11" s="1091"/>
      <c r="I11" s="1091"/>
      <c r="J11" s="1091"/>
      <c r="Q11" s="1091"/>
      <c r="R11" s="1091"/>
    </row>
    <row r="12" spans="1:21" x14ac:dyDescent="0.2">
      <c r="B12" s="1091"/>
      <c r="C12" s="1091"/>
      <c r="D12" s="1091"/>
      <c r="I12" s="1091"/>
      <c r="J12" s="1091"/>
      <c r="Q12" s="1091"/>
      <c r="R12" s="1091"/>
    </row>
    <row r="13" spans="1:21" x14ac:dyDescent="0.2">
      <c r="B13" s="1091"/>
      <c r="C13" s="1091"/>
      <c r="D13" s="1091"/>
      <c r="I13" s="1091"/>
      <c r="J13" s="1091"/>
      <c r="Q13" s="1091"/>
      <c r="R13" s="1091"/>
    </row>
    <row r="14" spans="1:21" x14ac:dyDescent="0.2">
      <c r="B14" s="1091"/>
      <c r="C14" s="1091"/>
      <c r="D14" s="1091"/>
      <c r="I14" s="1091"/>
      <c r="J14" s="1091"/>
      <c r="Q14" s="1091"/>
      <c r="R14" s="1091"/>
    </row>
    <row r="15" spans="1:21" x14ac:dyDescent="0.2">
      <c r="B15" s="1091"/>
      <c r="C15" s="1091"/>
      <c r="D15" s="1091"/>
      <c r="I15" s="1091"/>
      <c r="J15" s="1091"/>
      <c r="Q15" s="1091"/>
      <c r="R15" s="1091"/>
    </row>
    <row r="16" spans="1:21" x14ac:dyDescent="0.2">
      <c r="B16" s="1091"/>
      <c r="C16" s="1091"/>
      <c r="D16" s="1091"/>
      <c r="I16" s="1091"/>
      <c r="J16" s="1091"/>
      <c r="Q16" s="1091"/>
      <c r="R16" s="1091"/>
    </row>
    <row r="17" spans="2:19" x14ac:dyDescent="0.2">
      <c r="B17" s="1091"/>
      <c r="C17" s="1091"/>
      <c r="D17" s="1091"/>
      <c r="I17" s="1091"/>
      <c r="J17" s="1091"/>
      <c r="Q17" s="1091"/>
      <c r="R17" s="1091"/>
    </row>
    <row r="18" spans="2:19" x14ac:dyDescent="0.2">
      <c r="B18" s="1091"/>
      <c r="C18" s="1091"/>
      <c r="D18" s="1091"/>
      <c r="I18" s="1091"/>
      <c r="J18" s="1091"/>
      <c r="Q18" s="1091"/>
      <c r="R18" s="1091"/>
    </row>
    <row r="19" spans="2:19" x14ac:dyDescent="0.2">
      <c r="B19" s="1091"/>
      <c r="C19" s="1091"/>
      <c r="D19" s="1091"/>
      <c r="I19" s="1091"/>
      <c r="J19" s="1091"/>
      <c r="Q19" s="1091"/>
      <c r="R19" s="1091"/>
    </row>
    <row r="20" spans="2:19" x14ac:dyDescent="0.2">
      <c r="B20" s="1091"/>
      <c r="C20" s="1091"/>
      <c r="D20" s="1091"/>
      <c r="I20" s="1091"/>
      <c r="J20" s="1091"/>
      <c r="Q20" s="1091"/>
      <c r="R20" s="1091"/>
      <c r="S20" s="1109"/>
    </row>
    <row r="21" spans="2:19" x14ac:dyDescent="0.2">
      <c r="B21" s="1091"/>
      <c r="C21" s="1091"/>
      <c r="D21" s="1091"/>
      <c r="I21" s="1091"/>
      <c r="J21" s="1091"/>
      <c r="Q21" s="1091"/>
      <c r="R21" s="1091"/>
    </row>
    <row r="22" spans="2:19" x14ac:dyDescent="0.2">
      <c r="B22" s="1091"/>
      <c r="C22" s="1091"/>
      <c r="D22" s="1091"/>
      <c r="I22" s="1091"/>
      <c r="J22" s="1091"/>
      <c r="Q22" s="1091"/>
      <c r="R22" s="1091"/>
      <c r="S22" s="1100"/>
    </row>
    <row r="23" spans="2:19" x14ac:dyDescent="0.2">
      <c r="B23" s="1091"/>
      <c r="C23" s="1091"/>
      <c r="D23" s="1091"/>
      <c r="I23" s="1091"/>
      <c r="J23" s="1091"/>
      <c r="Q23" s="1091"/>
      <c r="S23" s="1100"/>
    </row>
    <row r="24" spans="2:19" x14ac:dyDescent="0.2">
      <c r="B24" s="1091"/>
      <c r="C24" s="1091"/>
      <c r="D24" s="1091"/>
      <c r="I24" s="1091"/>
      <c r="J24" s="1091"/>
      <c r="Q24" s="1091"/>
      <c r="S24" s="1100"/>
    </row>
    <row r="25" spans="2:19" x14ac:dyDescent="0.2">
      <c r="B25" s="1091"/>
      <c r="C25" s="1091"/>
      <c r="D25" s="1091"/>
      <c r="I25" s="1091"/>
      <c r="J25" s="1091"/>
      <c r="Q25" s="1091"/>
      <c r="S25" s="1101"/>
    </row>
    <row r="26" spans="2:19" x14ac:dyDescent="0.2">
      <c r="B26" s="1091"/>
      <c r="C26" s="1091"/>
      <c r="D26" s="1091"/>
      <c r="I26" s="1091"/>
      <c r="J26" s="1091"/>
      <c r="Q26" s="1091"/>
      <c r="S26" s="1103"/>
    </row>
    <row r="27" spans="2:19" x14ac:dyDescent="0.2">
      <c r="B27" s="1091"/>
      <c r="C27" s="1091"/>
      <c r="D27" s="1091"/>
      <c r="I27" s="1091"/>
      <c r="J27" s="1091"/>
      <c r="Q27" s="1091"/>
      <c r="S27" s="1103"/>
    </row>
    <row r="28" spans="2:19" x14ac:dyDescent="0.2">
      <c r="B28" s="1091"/>
      <c r="C28" s="1091"/>
      <c r="D28" s="1091"/>
      <c r="I28" s="1091"/>
      <c r="J28" s="1091"/>
      <c r="Q28" s="1091"/>
      <c r="S28" s="1103"/>
    </row>
    <row r="29" spans="2:19" x14ac:dyDescent="0.2">
      <c r="B29" s="1091"/>
      <c r="C29" s="1091"/>
      <c r="D29" s="1091"/>
      <c r="I29" s="1091"/>
      <c r="J29" s="1091"/>
      <c r="Q29" s="1091"/>
      <c r="S29" s="1103"/>
    </row>
    <row r="30" spans="2:19" x14ac:dyDescent="0.2">
      <c r="B30" s="1091"/>
      <c r="C30" s="1091"/>
      <c r="D30" s="1091"/>
      <c r="I30" s="1091"/>
      <c r="J30" s="1091"/>
      <c r="Q30" s="1091"/>
    </row>
    <row r="31" spans="2:19" x14ac:dyDescent="0.2">
      <c r="B31" s="1091"/>
      <c r="C31" s="1091"/>
      <c r="D31" s="1091"/>
      <c r="I31" s="1091"/>
      <c r="J31" s="1091"/>
      <c r="Q31" s="1091"/>
      <c r="S31" s="1103"/>
    </row>
    <row r="32" spans="2:19" x14ac:dyDescent="0.2">
      <c r="B32" s="1091"/>
      <c r="C32" s="1091"/>
      <c r="D32" s="1091"/>
      <c r="I32" s="1091"/>
      <c r="J32" s="1091"/>
      <c r="Q32" s="1091"/>
      <c r="S32" s="1103"/>
    </row>
    <row r="33" spans="2:19" x14ac:dyDescent="0.2">
      <c r="B33" s="1091"/>
      <c r="C33" s="1091"/>
      <c r="D33" s="1091"/>
      <c r="I33" s="1091"/>
      <c r="J33" s="1091"/>
      <c r="Q33" s="1091"/>
      <c r="S33" s="1110"/>
    </row>
    <row r="34" spans="2:19" x14ac:dyDescent="0.2">
      <c r="B34" s="1091"/>
      <c r="C34" s="1091"/>
      <c r="D34" s="1091"/>
      <c r="I34" s="1091"/>
      <c r="J34" s="1091"/>
      <c r="Q34" s="1091"/>
      <c r="S34" s="1099"/>
    </row>
    <row r="35" spans="2:19" x14ac:dyDescent="0.2">
      <c r="B35" s="1091"/>
      <c r="C35" s="1091"/>
      <c r="D35" s="1091"/>
      <c r="I35" s="1091"/>
      <c r="J35" s="1091"/>
      <c r="Q35" s="1091"/>
    </row>
    <row r="36" spans="2:19" x14ac:dyDescent="0.2">
      <c r="B36" s="1091"/>
      <c r="C36" s="1091"/>
      <c r="D36" s="1091"/>
      <c r="I36" s="1091"/>
      <c r="J36" s="1091"/>
      <c r="Q36" s="1091"/>
      <c r="S36" s="1105"/>
    </row>
    <row r="37" spans="2:19" x14ac:dyDescent="0.2">
      <c r="B37" s="1091"/>
      <c r="C37" s="1091"/>
      <c r="D37" s="1091"/>
      <c r="I37" s="1091"/>
      <c r="J37" s="1091"/>
      <c r="Q37" s="1091"/>
    </row>
    <row r="38" spans="2:19" x14ac:dyDescent="0.2">
      <c r="B38" s="1091"/>
      <c r="C38" s="1091"/>
      <c r="D38" s="1091"/>
      <c r="I38" s="1091"/>
      <c r="J38" s="1091"/>
      <c r="Q38" s="1091"/>
      <c r="S38" s="1108"/>
    </row>
    <row r="39" spans="2:19" x14ac:dyDescent="0.2">
      <c r="B39" s="1091"/>
      <c r="C39" s="1091"/>
      <c r="D39" s="1091"/>
      <c r="I39" s="1091"/>
      <c r="J39" s="1091"/>
      <c r="Q39" s="1091"/>
      <c r="S39" s="1099"/>
    </row>
    <row r="40" spans="2:19" x14ac:dyDescent="0.2">
      <c r="B40" s="1091"/>
      <c r="C40" s="1091"/>
      <c r="D40" s="1091"/>
      <c r="I40" s="1091"/>
      <c r="J40" s="1091"/>
      <c r="Q40" s="1091"/>
      <c r="S40" s="1099"/>
    </row>
    <row r="41" spans="2:19" x14ac:dyDescent="0.2">
      <c r="B41" s="1091"/>
      <c r="C41" s="1091"/>
      <c r="D41" s="1091"/>
      <c r="I41" s="1091"/>
      <c r="J41" s="1091"/>
      <c r="Q41" s="1091"/>
    </row>
    <row r="42" spans="2:19" x14ac:dyDescent="0.2">
      <c r="B42" s="1091"/>
      <c r="C42" s="1091"/>
      <c r="D42" s="1091"/>
      <c r="I42" s="1091"/>
      <c r="J42" s="1091"/>
      <c r="Q42" s="1091"/>
    </row>
    <row r="43" spans="2:19" x14ac:dyDescent="0.2">
      <c r="B43" s="1091"/>
      <c r="C43" s="1091"/>
      <c r="D43" s="1091"/>
      <c r="I43" s="1091"/>
      <c r="J43" s="1091"/>
      <c r="Q43" s="1091"/>
    </row>
    <row r="44" spans="2:19" x14ac:dyDescent="0.2">
      <c r="B44" s="1091"/>
      <c r="C44" s="1091"/>
      <c r="D44" s="1091"/>
      <c r="I44" s="1091"/>
      <c r="J44" s="1091"/>
      <c r="Q44" s="1091"/>
    </row>
    <row r="45" spans="2:19" x14ac:dyDescent="0.2">
      <c r="B45" s="1091"/>
      <c r="C45" s="1091"/>
      <c r="D45" s="1091"/>
      <c r="I45" s="1091"/>
      <c r="J45" s="1091"/>
      <c r="Q45" s="1091"/>
    </row>
    <row r="46" spans="2:19" x14ac:dyDescent="0.2">
      <c r="B46" s="1091"/>
      <c r="C46" s="1091"/>
      <c r="D46" s="1091"/>
      <c r="I46" s="1091"/>
      <c r="J46" s="1091"/>
      <c r="Q46" s="1091"/>
    </row>
    <row r="47" spans="2:19" x14ac:dyDescent="0.2">
      <c r="B47" s="1091"/>
      <c r="C47" s="1091"/>
      <c r="D47" s="1091"/>
      <c r="I47" s="1091"/>
      <c r="J47" s="1091"/>
      <c r="Q47" s="1091"/>
    </row>
    <row r="48" spans="2:19" x14ac:dyDescent="0.2">
      <c r="B48" s="1091"/>
      <c r="C48" s="1091"/>
      <c r="D48" s="1091"/>
      <c r="I48" s="1091"/>
      <c r="J48" s="1091"/>
      <c r="Q48" s="1091"/>
    </row>
    <row r="49" spans="2:17" x14ac:dyDescent="0.2">
      <c r="B49" s="1091"/>
      <c r="C49" s="1091"/>
      <c r="D49" s="1091"/>
      <c r="I49" s="1091"/>
      <c r="J49" s="1091"/>
      <c r="Q49" s="1091"/>
    </row>
    <row r="50" spans="2:17" x14ac:dyDescent="0.2">
      <c r="B50" s="1091"/>
      <c r="C50" s="1091"/>
      <c r="D50" s="1091"/>
      <c r="I50" s="1091"/>
      <c r="J50" s="1091"/>
      <c r="Q50" s="1091"/>
    </row>
    <row r="51" spans="2:17" x14ac:dyDescent="0.2">
      <c r="B51" s="1091"/>
      <c r="C51" s="1091"/>
      <c r="D51" s="1091"/>
      <c r="I51" s="1091"/>
      <c r="J51" s="1091"/>
      <c r="Q51" s="1091"/>
    </row>
    <row r="52" spans="2:17" x14ac:dyDescent="0.2">
      <c r="B52" s="1091"/>
      <c r="C52" s="1091"/>
      <c r="D52" s="1091"/>
      <c r="I52" s="1091"/>
      <c r="J52" s="1091"/>
      <c r="Q52" s="1091"/>
    </row>
    <row r="53" spans="2:17" x14ac:dyDescent="0.2">
      <c r="B53" s="1091"/>
      <c r="C53" s="1091"/>
      <c r="D53" s="1091"/>
      <c r="I53" s="1091"/>
      <c r="J53" s="1091"/>
      <c r="Q53" s="1091"/>
    </row>
    <row r="54" spans="2:17" x14ac:dyDescent="0.2">
      <c r="B54" s="1091"/>
      <c r="C54" s="1091"/>
      <c r="D54" s="1091"/>
      <c r="I54" s="1091"/>
      <c r="J54" s="1091"/>
      <c r="Q54" s="1091"/>
    </row>
    <row r="55" spans="2:17" x14ac:dyDescent="0.2">
      <c r="B55" s="1091"/>
      <c r="C55" s="1091"/>
      <c r="D55" s="1091"/>
      <c r="I55" s="1091"/>
      <c r="J55" s="1091"/>
      <c r="Q55" s="1091"/>
    </row>
    <row r="56" spans="2:17" x14ac:dyDescent="0.2">
      <c r="B56" s="1091"/>
      <c r="C56" s="1091"/>
      <c r="D56" s="1091"/>
      <c r="I56" s="1091"/>
      <c r="J56" s="1091"/>
      <c r="Q56" s="1091"/>
    </row>
    <row r="57" spans="2:17" x14ac:dyDescent="0.2">
      <c r="B57" s="1091"/>
      <c r="C57" s="1091"/>
      <c r="D57" s="1091"/>
      <c r="I57" s="1091"/>
      <c r="J57" s="1091"/>
      <c r="Q57" s="1091"/>
    </row>
    <row r="58" spans="2:17" x14ac:dyDescent="0.2">
      <c r="B58" s="1091"/>
      <c r="C58" s="1091"/>
      <c r="D58" s="1091"/>
      <c r="I58" s="1091"/>
      <c r="J58" s="1091"/>
      <c r="Q58" s="1091"/>
    </row>
    <row r="59" spans="2:17" x14ac:dyDescent="0.2">
      <c r="B59" s="1091"/>
      <c r="C59" s="1091"/>
      <c r="D59" s="1091"/>
      <c r="I59" s="1091"/>
      <c r="J59" s="1091"/>
      <c r="Q59" s="1091"/>
    </row>
    <row r="60" spans="2:17" x14ac:dyDescent="0.2">
      <c r="B60" s="1091"/>
      <c r="C60" s="1091"/>
      <c r="D60" s="1091"/>
      <c r="I60" s="1091"/>
      <c r="J60" s="1091"/>
      <c r="Q60" s="1091"/>
    </row>
    <row r="61" spans="2:17" x14ac:dyDescent="0.2">
      <c r="B61" s="1091"/>
      <c r="C61" s="1091"/>
      <c r="D61" s="1091"/>
      <c r="I61" s="1091"/>
      <c r="J61" s="1091"/>
      <c r="Q61" s="1091"/>
    </row>
    <row r="62" spans="2:17" x14ac:dyDescent="0.2">
      <c r="B62" s="1091"/>
      <c r="C62" s="1091"/>
      <c r="D62" s="1091"/>
      <c r="I62" s="1091"/>
      <c r="J62" s="1091"/>
      <c r="Q62" s="1091"/>
    </row>
    <row r="63" spans="2:17" x14ac:dyDescent="0.2">
      <c r="B63" s="1091"/>
      <c r="C63" s="1091"/>
      <c r="D63" s="1091"/>
      <c r="I63" s="1091"/>
      <c r="J63" s="1091"/>
      <c r="Q63" s="1091"/>
    </row>
    <row r="64" spans="2:17" x14ac:dyDescent="0.2">
      <c r="B64" s="1091"/>
      <c r="C64" s="1091"/>
      <c r="D64" s="1091"/>
      <c r="I64" s="1091"/>
      <c r="J64" s="1091"/>
      <c r="Q64" s="1091"/>
    </row>
    <row r="65" spans="2:17" x14ac:dyDescent="0.2">
      <c r="B65" s="1091"/>
      <c r="C65" s="1091"/>
      <c r="D65" s="1091"/>
      <c r="I65" s="1091"/>
      <c r="J65" s="1091"/>
      <c r="Q65" s="1091"/>
    </row>
    <row r="66" spans="2:17" x14ac:dyDescent="0.2">
      <c r="B66" s="1091"/>
      <c r="C66" s="1091"/>
      <c r="D66" s="1091"/>
      <c r="I66" s="1091"/>
      <c r="J66" s="1091"/>
      <c r="Q66" s="1091"/>
    </row>
    <row r="67" spans="2:17" x14ac:dyDescent="0.2">
      <c r="B67" s="1091"/>
      <c r="C67" s="1091"/>
      <c r="D67" s="1091"/>
      <c r="I67" s="1091"/>
      <c r="J67" s="1091"/>
      <c r="Q67" s="1091"/>
    </row>
    <row r="68" spans="2:17" x14ac:dyDescent="0.2">
      <c r="B68" s="1091"/>
      <c r="C68" s="1091"/>
      <c r="D68" s="1091"/>
      <c r="I68" s="1091"/>
      <c r="J68" s="1091"/>
      <c r="Q68" s="109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B34E1-7337-47AE-9B4C-7CF61C0A5821}">
  <sheetPr codeName="Sheet3"/>
  <dimension ref="A1:N29"/>
  <sheetViews>
    <sheetView workbookViewId="0">
      <selection activeCell="C18" sqref="C18"/>
    </sheetView>
  </sheetViews>
  <sheetFormatPr defaultRowHeight="15" x14ac:dyDescent="0.25"/>
  <cols>
    <col min="1" max="1" width="21.85546875" bestFit="1" customWidth="1"/>
    <col min="2" max="3" width="17.85546875" customWidth="1"/>
    <col min="4" max="4" width="9.42578125" bestFit="1" customWidth="1"/>
    <col min="5" max="5" width="11.85546875" bestFit="1" customWidth="1"/>
    <col min="6" max="6" width="12.7109375" bestFit="1" customWidth="1"/>
    <col min="7" max="7" width="24.85546875" bestFit="1" customWidth="1"/>
    <col min="8" max="8" width="42.7109375" bestFit="1" customWidth="1"/>
    <col min="9" max="9" width="24.85546875" bestFit="1" customWidth="1"/>
    <col min="10" max="10" width="42.7109375" bestFit="1" customWidth="1"/>
    <col min="11" max="11" width="21.140625" bestFit="1" customWidth="1"/>
    <col min="12" max="12" width="42.7109375" bestFit="1" customWidth="1"/>
    <col min="13" max="13" width="21.140625" bestFit="1" customWidth="1"/>
    <col min="14" max="14" width="42.7109375" bestFit="1" customWidth="1"/>
    <col min="15" max="15" width="21.140625" bestFit="1" customWidth="1"/>
    <col min="16" max="16" width="26.140625" bestFit="1" customWidth="1"/>
  </cols>
  <sheetData>
    <row r="1" spans="1:14" x14ac:dyDescent="0.25">
      <c r="A1" t="s">
        <v>3225</v>
      </c>
      <c r="B1" t="s">
        <v>3240</v>
      </c>
      <c r="C1" t="s">
        <v>3245</v>
      </c>
      <c r="D1" t="s">
        <v>3226</v>
      </c>
      <c r="E1" t="s">
        <v>3227</v>
      </c>
      <c r="F1" t="s">
        <v>3228</v>
      </c>
      <c r="G1" t="s">
        <v>3229</v>
      </c>
      <c r="H1" t="s">
        <v>3230</v>
      </c>
      <c r="I1" t="s">
        <v>3231</v>
      </c>
      <c r="J1" t="s">
        <v>3232</v>
      </c>
      <c r="K1" t="s">
        <v>3233</v>
      </c>
      <c r="L1" t="s">
        <v>3234</v>
      </c>
      <c r="M1" t="s">
        <v>3235</v>
      </c>
      <c r="N1" t="s">
        <v>3236</v>
      </c>
    </row>
    <row r="2" spans="1:14" x14ac:dyDescent="0.25">
      <c r="A2" t="s">
        <v>3278</v>
      </c>
      <c r="B2" t="s">
        <v>3241</v>
      </c>
      <c r="C2" t="s">
        <v>3247</v>
      </c>
      <c r="D2">
        <v>64</v>
      </c>
      <c r="E2">
        <v>50</v>
      </c>
      <c r="F2">
        <v>0</v>
      </c>
      <c r="H2" t="s">
        <v>3237</v>
      </c>
      <c r="J2" t="s">
        <v>3237</v>
      </c>
      <c r="L2" t="s">
        <v>3237</v>
      </c>
      <c r="N2" t="s">
        <v>3237</v>
      </c>
    </row>
    <row r="3" spans="1:14" x14ac:dyDescent="0.25">
      <c r="A3" t="s">
        <v>3279</v>
      </c>
      <c r="B3" t="s">
        <v>3241</v>
      </c>
      <c r="C3" t="s">
        <v>3247</v>
      </c>
      <c r="D3">
        <v>64</v>
      </c>
      <c r="E3">
        <v>50</v>
      </c>
      <c r="F3">
        <v>85</v>
      </c>
      <c r="H3" t="s">
        <v>3237</v>
      </c>
      <c r="J3" t="s">
        <v>3237</v>
      </c>
      <c r="L3" t="s">
        <v>3237</v>
      </c>
      <c r="N3" t="s">
        <v>3237</v>
      </c>
    </row>
    <row r="4" spans="1:14" x14ac:dyDescent="0.25">
      <c r="A4" t="s">
        <v>3271</v>
      </c>
      <c r="B4" t="s">
        <v>3269</v>
      </c>
      <c r="C4" t="s">
        <v>3271</v>
      </c>
      <c r="D4">
        <v>64</v>
      </c>
      <c r="E4">
        <v>50</v>
      </c>
      <c r="F4">
        <v>0</v>
      </c>
      <c r="H4" t="s">
        <v>3237</v>
      </c>
      <c r="J4" t="s">
        <v>3237</v>
      </c>
      <c r="L4" t="s">
        <v>3237</v>
      </c>
      <c r="N4" t="s">
        <v>3237</v>
      </c>
    </row>
    <row r="5" spans="1:14" x14ac:dyDescent="0.25">
      <c r="A5" t="s">
        <v>3272</v>
      </c>
      <c r="B5" t="s">
        <v>3238</v>
      </c>
      <c r="C5" t="s">
        <v>3272</v>
      </c>
      <c r="D5">
        <v>64</v>
      </c>
      <c r="E5">
        <v>50</v>
      </c>
      <c r="F5">
        <v>0</v>
      </c>
      <c r="H5" t="s">
        <v>3237</v>
      </c>
      <c r="J5" t="s">
        <v>3237</v>
      </c>
      <c r="L5" t="s">
        <v>3237</v>
      </c>
      <c r="N5" t="s">
        <v>3237</v>
      </c>
    </row>
    <row r="6" spans="1:14" x14ac:dyDescent="0.25">
      <c r="A6" t="s">
        <v>3280</v>
      </c>
      <c r="B6" t="s">
        <v>3268</v>
      </c>
      <c r="C6" t="s">
        <v>3273</v>
      </c>
      <c r="D6">
        <v>64</v>
      </c>
      <c r="E6">
        <v>50</v>
      </c>
      <c r="F6">
        <v>0</v>
      </c>
      <c r="H6" t="s">
        <v>3237</v>
      </c>
      <c r="J6" t="s">
        <v>3237</v>
      </c>
      <c r="L6" t="s">
        <v>3237</v>
      </c>
      <c r="N6" t="s">
        <v>3237</v>
      </c>
    </row>
    <row r="7" spans="1:14" x14ac:dyDescent="0.25">
      <c r="A7" t="s">
        <v>3281</v>
      </c>
      <c r="B7" t="s">
        <v>3268</v>
      </c>
      <c r="C7" t="s">
        <v>3273</v>
      </c>
      <c r="D7">
        <v>64</v>
      </c>
      <c r="E7">
        <v>50</v>
      </c>
      <c r="F7">
        <v>0</v>
      </c>
      <c r="H7" t="s">
        <v>3237</v>
      </c>
      <c r="J7" t="s">
        <v>3237</v>
      </c>
      <c r="L7" t="s">
        <v>3237</v>
      </c>
      <c r="N7" t="s">
        <v>3237</v>
      </c>
    </row>
    <row r="8" spans="1:14" x14ac:dyDescent="0.25">
      <c r="A8" t="s">
        <v>3274</v>
      </c>
      <c r="B8" t="s">
        <v>3267</v>
      </c>
      <c r="C8" t="s">
        <v>3274</v>
      </c>
      <c r="D8">
        <v>64</v>
      </c>
      <c r="E8">
        <v>50</v>
      </c>
      <c r="F8">
        <v>0</v>
      </c>
      <c r="H8" t="s">
        <v>3237</v>
      </c>
      <c r="J8" t="s">
        <v>3237</v>
      </c>
      <c r="K8">
        <v>429</v>
      </c>
      <c r="L8" t="s">
        <v>3237</v>
      </c>
      <c r="N8" t="s">
        <v>3237</v>
      </c>
    </row>
    <row r="9" spans="1:14" x14ac:dyDescent="0.25">
      <c r="A9" t="s">
        <v>3275</v>
      </c>
      <c r="B9" t="s">
        <v>3239</v>
      </c>
      <c r="C9" t="s">
        <v>3275</v>
      </c>
      <c r="D9">
        <v>128</v>
      </c>
      <c r="E9">
        <v>50</v>
      </c>
      <c r="F9">
        <v>0</v>
      </c>
      <c r="H9" t="s">
        <v>3237</v>
      </c>
      <c r="J9" t="s">
        <v>3237</v>
      </c>
      <c r="K9">
        <v>429</v>
      </c>
      <c r="L9" t="s">
        <v>3237</v>
      </c>
      <c r="N9" t="s">
        <v>3237</v>
      </c>
    </row>
    <row r="10" spans="1:14" x14ac:dyDescent="0.25">
      <c r="A10" t="s">
        <v>3282</v>
      </c>
      <c r="B10" t="s">
        <v>3266</v>
      </c>
      <c r="C10" t="s">
        <v>3276</v>
      </c>
      <c r="D10">
        <v>64</v>
      </c>
      <c r="E10">
        <v>50</v>
      </c>
      <c r="F10">
        <v>0</v>
      </c>
      <c r="H10" t="s">
        <v>3237</v>
      </c>
      <c r="J10" t="s">
        <v>3237</v>
      </c>
      <c r="L10" t="s">
        <v>3237</v>
      </c>
      <c r="N10" t="s">
        <v>3237</v>
      </c>
    </row>
    <row r="11" spans="1:14" x14ac:dyDescent="0.25">
      <c r="A11" t="s">
        <v>3283</v>
      </c>
      <c r="B11" t="s">
        <v>3242</v>
      </c>
      <c r="C11" t="s">
        <v>3277</v>
      </c>
      <c r="D11">
        <v>64</v>
      </c>
      <c r="E11">
        <v>50</v>
      </c>
      <c r="F11">
        <v>0</v>
      </c>
      <c r="H11" t="s">
        <v>3237</v>
      </c>
      <c r="J11" t="s">
        <v>3237</v>
      </c>
      <c r="L11" t="s">
        <v>3237</v>
      </c>
      <c r="N11" t="s">
        <v>3237</v>
      </c>
    </row>
    <row r="12" spans="1:14" x14ac:dyDescent="0.25">
      <c r="A12" t="s">
        <v>3284</v>
      </c>
      <c r="B12" t="s">
        <v>3242</v>
      </c>
      <c r="C12" t="s">
        <v>3277</v>
      </c>
      <c r="D12">
        <v>64</v>
      </c>
      <c r="E12">
        <v>50</v>
      </c>
      <c r="F12">
        <v>0</v>
      </c>
      <c r="H12" t="s">
        <v>3237</v>
      </c>
      <c r="J12" t="s">
        <v>3237</v>
      </c>
      <c r="L12" t="s">
        <v>3237</v>
      </c>
      <c r="N12" t="s">
        <v>3237</v>
      </c>
    </row>
    <row r="13" spans="1:14" x14ac:dyDescent="0.25">
      <c r="A13" t="s">
        <v>3319</v>
      </c>
      <c r="B13" t="s">
        <v>3266</v>
      </c>
      <c r="C13" t="s">
        <v>3320</v>
      </c>
    </row>
    <row r="27" spans="3:3" x14ac:dyDescent="0.25">
      <c r="C27" t="str">
        <f t="shared" ref="C27:C29" si="0">UPPER(A13)</f>
        <v>TIMBER FLOORING</v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97A8-2DE2-4AF6-9870-DE46B87721AD}">
  <sheetPr codeName="Sheet4"/>
  <dimension ref="A1:F25"/>
  <sheetViews>
    <sheetView workbookViewId="0">
      <selection activeCell="B3" sqref="B3"/>
    </sheetView>
  </sheetViews>
  <sheetFormatPr defaultRowHeight="15" x14ac:dyDescent="0.25"/>
  <cols>
    <col min="1" max="1" width="65.140625" bestFit="1" customWidth="1"/>
    <col min="2" max="2" width="11" bestFit="1" customWidth="1"/>
    <col min="3" max="3" width="17.85546875" bestFit="1" customWidth="1"/>
    <col min="4" max="4" width="13.140625" bestFit="1" customWidth="1"/>
    <col min="5" max="5" width="16.42578125" bestFit="1" customWidth="1"/>
  </cols>
  <sheetData>
    <row r="1" spans="1:6" x14ac:dyDescent="0.25">
      <c r="A1" t="s">
        <v>3201</v>
      </c>
    </row>
    <row r="2" spans="1:6" x14ac:dyDescent="0.25">
      <c r="A2" t="s">
        <v>3202</v>
      </c>
      <c r="B2" t="s">
        <v>3245</v>
      </c>
      <c r="C2" t="s">
        <v>3246</v>
      </c>
      <c r="D2" t="s">
        <v>3243</v>
      </c>
      <c r="E2" t="s">
        <v>2567</v>
      </c>
      <c r="F2" t="s">
        <v>3248</v>
      </c>
    </row>
    <row r="3" spans="1:6" x14ac:dyDescent="0.25">
      <c r="A3" t="str">
        <f>_xlfn.CONCAT(B3,"_",C3,"_",D3,"_",E3,"_",F3)</f>
        <v>FLOOR_TIMBER FLOORING_WOODPECKER_HAMPTON_12mm</v>
      </c>
      <c r="B3" t="str">
        <f>IFERROR(VLOOKUP(Standards!C3,Hatch!A1:C50,3,FALSE),"")</f>
        <v>FLOOR</v>
      </c>
      <c r="C3" t="str">
        <f>MaterialsSheet!J2</f>
        <v>TIMBER FLOORING</v>
      </c>
      <c r="D3" t="str">
        <f>MaterialsSheet!C2</f>
        <v>WOODPECKER</v>
      </c>
      <c r="E3" t="str">
        <f>MaterialsSheet!B2</f>
        <v>HAMPTON</v>
      </c>
      <c r="F3" t="str">
        <f>_xlfn.CONCAT(MaterialsSheet!N2,"mm")</f>
        <v>12mm</v>
      </c>
    </row>
    <row r="4" spans="1:6" x14ac:dyDescent="0.25">
      <c r="A4" t="s">
        <v>3203</v>
      </c>
      <c r="B4" t="str">
        <f>IFERROR(VLOOKUP(Standards!C4,Hatch!A1:C50,3,FALSE),"")</f>
        <v/>
      </c>
    </row>
    <row r="5" spans="1:6" x14ac:dyDescent="0.25">
      <c r="A5" t="s">
        <v>3204</v>
      </c>
    </row>
    <row r="6" spans="1:6" x14ac:dyDescent="0.25">
      <c r="A6" t="s">
        <v>3205</v>
      </c>
    </row>
    <row r="7" spans="1:6" x14ac:dyDescent="0.25">
      <c r="A7" t="s">
        <v>3206</v>
      </c>
    </row>
    <row r="8" spans="1:6" x14ac:dyDescent="0.25">
      <c r="A8" t="s">
        <v>3207</v>
      </c>
    </row>
    <row r="9" spans="1:6" x14ac:dyDescent="0.25">
      <c r="A9" t="s">
        <v>3208</v>
      </c>
    </row>
    <row r="10" spans="1:6" x14ac:dyDescent="0.25">
      <c r="A10" t="s">
        <v>3209</v>
      </c>
    </row>
    <row r="11" spans="1:6" x14ac:dyDescent="0.25">
      <c r="A11" t="s">
        <v>3210</v>
      </c>
    </row>
    <row r="12" spans="1:6" x14ac:dyDescent="0.25">
      <c r="A12" t="s">
        <v>3211</v>
      </c>
    </row>
    <row r="13" spans="1:6" x14ac:dyDescent="0.25">
      <c r="A13" t="s">
        <v>3212</v>
      </c>
    </row>
    <row r="14" spans="1:6" x14ac:dyDescent="0.25">
      <c r="A14" t="s">
        <v>3213</v>
      </c>
    </row>
    <row r="15" spans="1:6" x14ac:dyDescent="0.25">
      <c r="A15" t="s">
        <v>3214</v>
      </c>
    </row>
    <row r="16" spans="1:6" x14ac:dyDescent="0.25">
      <c r="A16" t="s">
        <v>3215</v>
      </c>
    </row>
    <row r="17" spans="1:1" x14ac:dyDescent="0.25">
      <c r="A17" t="s">
        <v>3216</v>
      </c>
    </row>
    <row r="18" spans="1:1" x14ac:dyDescent="0.25">
      <c r="A18" t="s">
        <v>3217</v>
      </c>
    </row>
    <row r="19" spans="1:1" x14ac:dyDescent="0.25">
      <c r="A19" t="s">
        <v>3218</v>
      </c>
    </row>
    <row r="20" spans="1:1" x14ac:dyDescent="0.25">
      <c r="A20" t="s">
        <v>3219</v>
      </c>
    </row>
    <row r="21" spans="1:1" x14ac:dyDescent="0.25">
      <c r="A21" t="s">
        <v>3220</v>
      </c>
    </row>
    <row r="22" spans="1:1" x14ac:dyDescent="0.25">
      <c r="A22" t="s">
        <v>3221</v>
      </c>
    </row>
    <row r="23" spans="1:1" x14ac:dyDescent="0.25">
      <c r="A23" t="s">
        <v>3222</v>
      </c>
    </row>
    <row r="24" spans="1:1" x14ac:dyDescent="0.25">
      <c r="A24" t="s">
        <v>3223</v>
      </c>
    </row>
    <row r="25" spans="1:1" x14ac:dyDescent="0.25">
      <c r="A25" t="s">
        <v>3224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A21AA-0858-4E75-AA30-8A26AEE0B30A}">
  <sheetPr codeName="Sheet5"/>
  <dimension ref="A1:L1502"/>
  <sheetViews>
    <sheetView topLeftCell="A1479" workbookViewId="0">
      <selection activeCell="J1494" sqref="J1494"/>
    </sheetView>
  </sheetViews>
  <sheetFormatPr defaultRowHeight="15" x14ac:dyDescent="0.25"/>
  <cols>
    <col min="1" max="1" width="39" bestFit="1" customWidth="1"/>
    <col min="2" max="2" width="20.85546875" bestFit="1" customWidth="1"/>
    <col min="3" max="3" width="13.5703125" style="2" bestFit="1" customWidth="1"/>
    <col min="4" max="4" width="12" style="3" bestFit="1" customWidth="1"/>
    <col min="5" max="5" width="16" customWidth="1"/>
    <col min="6" max="6" width="12.28515625" style="2" bestFit="1" customWidth="1"/>
    <col min="7" max="7" width="11.140625" style="2" customWidth="1"/>
    <col min="8" max="8" width="9.140625" style="2"/>
    <col min="9" max="10" width="12.7109375" style="1" bestFit="1" customWidth="1"/>
    <col min="11" max="11" width="12" style="1" bestFit="1" customWidth="1"/>
    <col min="12" max="12" width="27.5703125" bestFit="1" customWidth="1"/>
  </cols>
  <sheetData>
    <row r="1" spans="1:11" x14ac:dyDescent="0.25">
      <c r="A1" t="s">
        <v>1546</v>
      </c>
      <c r="B1" t="s">
        <v>2567</v>
      </c>
      <c r="C1" s="2" t="s">
        <v>3289</v>
      </c>
      <c r="D1" s="3" t="s">
        <v>2566</v>
      </c>
      <c r="E1" t="s">
        <v>84</v>
      </c>
      <c r="F1" s="2" t="s">
        <v>3288</v>
      </c>
      <c r="G1" s="2" t="s">
        <v>3286</v>
      </c>
      <c r="H1" s="2" t="s">
        <v>3285</v>
      </c>
      <c r="I1" s="18"/>
    </row>
    <row r="2" spans="1:11" x14ac:dyDescent="0.25">
      <c r="A2" t="s">
        <v>15</v>
      </c>
      <c r="B2" t="s">
        <v>2567</v>
      </c>
      <c r="C2" s="2">
        <v>80</v>
      </c>
      <c r="D2" s="3" t="s">
        <v>1656</v>
      </c>
      <c r="E2" t="s">
        <v>84</v>
      </c>
      <c r="F2" s="2" t="str">
        <f t="shared" ref="F2:F16" si="0">LEFT(D2,FIND(",",D2)-1)</f>
        <v>0</v>
      </c>
      <c r="G2" s="2" t="str">
        <f t="shared" ref="G2:G16" si="1">MID(D2,FIND(",",D2)+1,FIND(",",D2,FIND(",",D2)+1)-FIND(",",D2)-1)</f>
        <v xml:space="preserve"> 0</v>
      </c>
      <c r="H2" s="2" t="str">
        <f t="shared" ref="H2:H16" si="2">RIGHT(D2,LEN(D2)-FIND(",",D2,FIND(",",D2)+1))</f>
        <v xml:space="preserve"> 128</v>
      </c>
      <c r="I2" s="118"/>
    </row>
    <row r="3" spans="1:11" x14ac:dyDescent="0.25">
      <c r="A3" t="s">
        <v>1547</v>
      </c>
      <c r="B3" t="s">
        <v>2567</v>
      </c>
      <c r="C3" s="2" t="s">
        <v>518</v>
      </c>
      <c r="D3" s="3" t="s">
        <v>1655</v>
      </c>
      <c r="E3" t="s">
        <v>84</v>
      </c>
      <c r="F3" s="2" t="str">
        <f t="shared" si="0"/>
        <v>0</v>
      </c>
      <c r="G3" s="2" t="str">
        <f t="shared" si="1"/>
        <v xml:space="preserve"> 0</v>
      </c>
      <c r="H3" s="2" t="str">
        <f t="shared" si="2"/>
        <v xml:space="preserve"> 139</v>
      </c>
      <c r="I3" s="216"/>
    </row>
    <row r="4" spans="1:11" x14ac:dyDescent="0.25">
      <c r="A4" t="s">
        <v>433</v>
      </c>
      <c r="B4" t="s">
        <v>2567</v>
      </c>
      <c r="C4" s="2" t="s">
        <v>434</v>
      </c>
      <c r="D4" s="3" t="s">
        <v>1654</v>
      </c>
      <c r="E4" t="s">
        <v>84</v>
      </c>
      <c r="F4" s="2" t="str">
        <f t="shared" si="0"/>
        <v>0</v>
      </c>
      <c r="G4" s="2" t="str">
        <f t="shared" si="1"/>
        <v xml:space="preserve"> 0</v>
      </c>
      <c r="H4" s="2" t="str">
        <f t="shared" si="2"/>
        <v xml:space="preserve"> 205</v>
      </c>
      <c r="I4" s="311"/>
    </row>
    <row r="5" spans="1:11" x14ac:dyDescent="0.25">
      <c r="A5" t="s">
        <v>4</v>
      </c>
      <c r="B5" t="s">
        <v>2567</v>
      </c>
      <c r="C5" s="2" t="s">
        <v>512</v>
      </c>
      <c r="D5" s="3" t="s">
        <v>1653</v>
      </c>
      <c r="E5" t="s">
        <v>84</v>
      </c>
      <c r="F5" s="2" t="str">
        <f t="shared" si="0"/>
        <v>0</v>
      </c>
      <c r="G5" s="2" t="str">
        <f t="shared" si="1"/>
        <v xml:space="preserve"> 0</v>
      </c>
      <c r="H5" s="2" t="str">
        <f t="shared" si="2"/>
        <v xml:space="preserve"> 255</v>
      </c>
      <c r="I5" s="12"/>
      <c r="K5" s="1" t="s">
        <v>3298</v>
      </c>
    </row>
    <row r="6" spans="1:11" x14ac:dyDescent="0.25">
      <c r="A6" t="s">
        <v>370</v>
      </c>
      <c r="B6" t="s">
        <v>2567</v>
      </c>
      <c r="C6" s="2" t="s">
        <v>371</v>
      </c>
      <c r="D6" s="3" t="s">
        <v>1649</v>
      </c>
      <c r="E6" t="s">
        <v>84</v>
      </c>
      <c r="F6" s="2" t="str">
        <f t="shared" si="0"/>
        <v>0</v>
      </c>
      <c r="G6" s="2" t="str">
        <f t="shared" si="1"/>
        <v xml:space="preserve"> 191</v>
      </c>
      <c r="H6" s="2" t="str">
        <f t="shared" si="2"/>
        <v xml:space="preserve"> 255</v>
      </c>
      <c r="I6" s="148"/>
    </row>
    <row r="7" spans="1:11" x14ac:dyDescent="0.25">
      <c r="A7" t="s">
        <v>368</v>
      </c>
      <c r="B7" t="s">
        <v>2567</v>
      </c>
      <c r="C7" s="2" t="s">
        <v>369</v>
      </c>
      <c r="D7" s="3" t="s">
        <v>1641</v>
      </c>
      <c r="E7" t="s">
        <v>84</v>
      </c>
      <c r="F7" s="2" t="str">
        <f t="shared" si="0"/>
        <v>0</v>
      </c>
      <c r="G7" s="2" t="str">
        <f t="shared" si="1"/>
        <v xml:space="preserve"> 206</v>
      </c>
      <c r="H7" s="2" t="str">
        <f t="shared" si="2"/>
        <v xml:space="preserve"> 209</v>
      </c>
      <c r="I7" s="53"/>
    </row>
    <row r="8" spans="1:11" x14ac:dyDescent="0.25">
      <c r="A8" t="s">
        <v>1311</v>
      </c>
      <c r="B8" t="s">
        <v>2567</v>
      </c>
      <c r="C8" s="2" t="s">
        <v>519</v>
      </c>
      <c r="D8" s="3" t="s">
        <v>1635</v>
      </c>
      <c r="E8" t="s">
        <v>84</v>
      </c>
      <c r="F8" s="2" t="str">
        <f t="shared" si="0"/>
        <v>0</v>
      </c>
      <c r="G8" s="2" t="str">
        <f t="shared" si="1"/>
        <v xml:space="preserve"> 255</v>
      </c>
      <c r="H8" s="2" t="str">
        <f t="shared" si="2"/>
        <v xml:space="preserve"> 255</v>
      </c>
      <c r="I8" s="15"/>
    </row>
    <row r="9" spans="1:11" x14ac:dyDescent="0.25">
      <c r="A9" t="s">
        <v>1434</v>
      </c>
      <c r="B9" t="s">
        <v>2567</v>
      </c>
      <c r="C9" s="2" t="s">
        <v>519</v>
      </c>
      <c r="D9" s="3" t="s">
        <v>1635</v>
      </c>
      <c r="E9" t="s">
        <v>84</v>
      </c>
      <c r="F9" s="2" t="str">
        <f t="shared" si="0"/>
        <v>0</v>
      </c>
      <c r="G9" s="2" t="str">
        <f t="shared" si="1"/>
        <v xml:space="preserve"> 255</v>
      </c>
      <c r="H9" s="2" t="str">
        <f t="shared" si="2"/>
        <v xml:space="preserve"> 255</v>
      </c>
      <c r="I9" s="15"/>
    </row>
    <row r="10" spans="1:11" x14ac:dyDescent="0.25">
      <c r="A10" t="s">
        <v>15</v>
      </c>
      <c r="B10" t="s">
        <v>2567</v>
      </c>
      <c r="C10" s="2">
        <v>80</v>
      </c>
      <c r="D10" s="3" t="s">
        <v>1757</v>
      </c>
      <c r="E10" t="s">
        <v>84</v>
      </c>
      <c r="F10" s="2" t="str">
        <f t="shared" si="0"/>
        <v>0</v>
      </c>
      <c r="G10" s="2" t="str">
        <f t="shared" si="1"/>
        <v>0</v>
      </c>
      <c r="H10" s="2" t="str">
        <f t="shared" si="2"/>
        <v>128</v>
      </c>
      <c r="I10" s="118"/>
    </row>
    <row r="11" spans="1:11" x14ac:dyDescent="0.25">
      <c r="A11" t="s">
        <v>81</v>
      </c>
      <c r="B11" t="s">
        <v>2567</v>
      </c>
      <c r="C11" s="2">
        <v>80</v>
      </c>
      <c r="D11" s="3" t="s">
        <v>1757</v>
      </c>
      <c r="E11" t="s">
        <v>84</v>
      </c>
      <c r="F11" s="2" t="str">
        <f t="shared" si="0"/>
        <v>0</v>
      </c>
      <c r="G11" s="2" t="str">
        <f t="shared" si="1"/>
        <v>0</v>
      </c>
      <c r="H11" s="2" t="str">
        <f t="shared" si="2"/>
        <v>128</v>
      </c>
      <c r="I11" s="118"/>
    </row>
    <row r="12" spans="1:11" x14ac:dyDescent="0.25">
      <c r="A12" t="s">
        <v>440</v>
      </c>
      <c r="B12" t="s">
        <v>2567</v>
      </c>
      <c r="C12" s="2">
        <v>80</v>
      </c>
      <c r="D12" s="3" t="s">
        <v>1757</v>
      </c>
      <c r="E12" t="s">
        <v>84</v>
      </c>
      <c r="F12" s="2" t="str">
        <f t="shared" si="0"/>
        <v>0</v>
      </c>
      <c r="G12" s="2" t="str">
        <f t="shared" si="1"/>
        <v>0</v>
      </c>
      <c r="H12" s="2" t="str">
        <f t="shared" si="2"/>
        <v>128</v>
      </c>
      <c r="I12" s="118"/>
    </row>
    <row r="13" spans="1:11" x14ac:dyDescent="0.25">
      <c r="A13" t="s">
        <v>81</v>
      </c>
      <c r="B13" t="s">
        <v>2567</v>
      </c>
      <c r="C13" s="2">
        <v>80</v>
      </c>
      <c r="D13" s="3" t="s">
        <v>1757</v>
      </c>
      <c r="E13" t="s">
        <v>84</v>
      </c>
      <c r="F13" s="2" t="str">
        <f t="shared" si="0"/>
        <v>0</v>
      </c>
      <c r="G13" s="2" t="str">
        <f t="shared" si="1"/>
        <v>0</v>
      </c>
      <c r="H13" s="2" t="str">
        <f t="shared" si="2"/>
        <v>128</v>
      </c>
      <c r="I13" s="118"/>
    </row>
    <row r="14" spans="1:11" x14ac:dyDescent="0.25">
      <c r="A14" t="s">
        <v>82</v>
      </c>
      <c r="B14" t="s">
        <v>2567</v>
      </c>
      <c r="C14" s="2" t="s">
        <v>518</v>
      </c>
      <c r="D14" s="3" t="s">
        <v>1766</v>
      </c>
      <c r="E14" t="s">
        <v>84</v>
      </c>
      <c r="F14" s="2" t="str">
        <f t="shared" si="0"/>
        <v>0</v>
      </c>
      <c r="G14" s="2" t="str">
        <f t="shared" si="1"/>
        <v>0</v>
      </c>
      <c r="H14" s="2" t="str">
        <f t="shared" si="2"/>
        <v>139</v>
      </c>
      <c r="I14" s="216"/>
    </row>
    <row r="15" spans="1:11" x14ac:dyDescent="0.25">
      <c r="A15" t="s">
        <v>517</v>
      </c>
      <c r="B15" t="s">
        <v>2567</v>
      </c>
      <c r="C15" s="2" t="s">
        <v>518</v>
      </c>
      <c r="D15" s="3" t="s">
        <v>1766</v>
      </c>
      <c r="E15" t="s">
        <v>84</v>
      </c>
      <c r="F15" s="2" t="str">
        <f t="shared" si="0"/>
        <v>0</v>
      </c>
      <c r="G15" s="2" t="str">
        <f t="shared" si="1"/>
        <v>0</v>
      </c>
      <c r="H15" s="2" t="str">
        <f t="shared" si="2"/>
        <v>139</v>
      </c>
      <c r="I15" s="216"/>
    </row>
    <row r="16" spans="1:11" x14ac:dyDescent="0.25">
      <c r="A16" t="s">
        <v>560</v>
      </c>
      <c r="B16" t="s">
        <v>2567</v>
      </c>
      <c r="C16" s="2" t="s">
        <v>561</v>
      </c>
      <c r="D16" s="3" t="s">
        <v>1781</v>
      </c>
      <c r="E16" t="s">
        <v>84</v>
      </c>
      <c r="F16" s="2" t="str">
        <f t="shared" si="0"/>
        <v>0</v>
      </c>
      <c r="G16" s="2" t="str">
        <f t="shared" si="1"/>
        <v>0</v>
      </c>
      <c r="H16" s="2" t="str">
        <f t="shared" si="2"/>
        <v>156</v>
      </c>
      <c r="I16" s="706"/>
    </row>
    <row r="17" spans="1:12" x14ac:dyDescent="0.25">
      <c r="A17" t="s">
        <v>1478</v>
      </c>
      <c r="B17" t="s">
        <v>2567</v>
      </c>
      <c r="C17" s="2" t="s">
        <v>561</v>
      </c>
      <c r="D17" s="3" t="s">
        <v>1781</v>
      </c>
      <c r="E17" t="s">
        <v>84</v>
      </c>
      <c r="F17" s="5">
        <v>0</v>
      </c>
      <c r="G17" s="5">
        <v>0</v>
      </c>
      <c r="H17" s="5">
        <v>156</v>
      </c>
      <c r="I17" s="706"/>
      <c r="L17" s="7"/>
    </row>
    <row r="18" spans="1:12" x14ac:dyDescent="0.25">
      <c r="A18" t="s">
        <v>83</v>
      </c>
      <c r="B18" t="s">
        <v>2567</v>
      </c>
      <c r="C18" s="2" t="s">
        <v>434</v>
      </c>
      <c r="D18" s="3" t="s">
        <v>1755</v>
      </c>
      <c r="E18" t="s">
        <v>84</v>
      </c>
      <c r="F18" s="2" t="str">
        <f t="shared" ref="F18:F25" si="3">LEFT(D18,FIND(",",D18)-1)</f>
        <v>0</v>
      </c>
      <c r="G18" s="2" t="str">
        <f t="shared" ref="G18:G25" si="4">MID(D18,FIND(",",D18)+1,FIND(",",D18,FIND(",",D18)+1)-FIND(",",D18)-1)</f>
        <v>0</v>
      </c>
      <c r="H18" s="2" t="str">
        <f t="shared" ref="H18:H25" si="5">RIGHT(D18,LEN(D18)-FIND(",",D18,FIND(",",D18)+1))</f>
        <v>205</v>
      </c>
      <c r="I18" s="311"/>
    </row>
    <row r="19" spans="1:12" x14ac:dyDescent="0.25">
      <c r="A19" t="s">
        <v>433</v>
      </c>
      <c r="B19" t="s">
        <v>2567</v>
      </c>
      <c r="C19" s="2" t="s">
        <v>434</v>
      </c>
      <c r="D19" s="3" t="s">
        <v>1755</v>
      </c>
      <c r="E19" t="s">
        <v>84</v>
      </c>
      <c r="F19" s="2" t="str">
        <f t="shared" si="3"/>
        <v>0</v>
      </c>
      <c r="G19" s="2" t="str">
        <f t="shared" si="4"/>
        <v>0</v>
      </c>
      <c r="H19" s="2" t="str">
        <f t="shared" si="5"/>
        <v>205</v>
      </c>
      <c r="I19" s="311"/>
    </row>
    <row r="20" spans="1:12" x14ac:dyDescent="0.25">
      <c r="A20" t="s">
        <v>516</v>
      </c>
      <c r="B20" t="s">
        <v>2567</v>
      </c>
      <c r="C20" s="2" t="s">
        <v>434</v>
      </c>
      <c r="D20" s="3" t="s">
        <v>1755</v>
      </c>
      <c r="E20" t="s">
        <v>84</v>
      </c>
      <c r="F20" s="2" t="str">
        <f t="shared" si="3"/>
        <v>0</v>
      </c>
      <c r="G20" s="2" t="str">
        <f t="shared" si="4"/>
        <v>0</v>
      </c>
      <c r="H20" s="2" t="str">
        <f t="shared" si="5"/>
        <v>205</v>
      </c>
      <c r="I20" s="311"/>
    </row>
    <row r="21" spans="1:12" x14ac:dyDescent="0.25">
      <c r="A21" t="s">
        <v>514</v>
      </c>
      <c r="B21" t="s">
        <v>2567</v>
      </c>
      <c r="C21" s="2" t="s">
        <v>515</v>
      </c>
      <c r="D21" s="3" t="s">
        <v>1765</v>
      </c>
      <c r="E21" t="s">
        <v>84</v>
      </c>
      <c r="F21" s="2" t="str">
        <f t="shared" si="3"/>
        <v>0</v>
      </c>
      <c r="G21" s="2" t="str">
        <f t="shared" si="4"/>
        <v>0</v>
      </c>
      <c r="H21" s="2" t="str">
        <f t="shared" si="5"/>
        <v>238</v>
      </c>
      <c r="I21" s="323"/>
    </row>
    <row r="22" spans="1:12" x14ac:dyDescent="0.25">
      <c r="A22" t="s">
        <v>4</v>
      </c>
      <c r="B22" t="s">
        <v>2567</v>
      </c>
      <c r="C22" s="2" t="s">
        <v>512</v>
      </c>
      <c r="D22" s="3" t="s">
        <v>1764</v>
      </c>
      <c r="E22" t="s">
        <v>84</v>
      </c>
      <c r="F22" s="2" t="str">
        <f t="shared" si="3"/>
        <v>0</v>
      </c>
      <c r="G22" s="2" t="str">
        <f t="shared" si="4"/>
        <v>0</v>
      </c>
      <c r="H22" s="2" t="str">
        <f t="shared" si="5"/>
        <v>255</v>
      </c>
      <c r="I22" s="12"/>
    </row>
    <row r="23" spans="1:12" x14ac:dyDescent="0.25">
      <c r="A23" t="s">
        <v>84</v>
      </c>
      <c r="B23" t="s">
        <v>2567</v>
      </c>
      <c r="C23" s="2" t="s">
        <v>512</v>
      </c>
      <c r="D23" s="3" t="s">
        <v>1764</v>
      </c>
      <c r="E23" t="s">
        <v>84</v>
      </c>
      <c r="F23" s="2" t="str">
        <f t="shared" si="3"/>
        <v>0</v>
      </c>
      <c r="G23" s="2" t="str">
        <f t="shared" si="4"/>
        <v>0</v>
      </c>
      <c r="H23" s="2" t="str">
        <f t="shared" si="5"/>
        <v>255</v>
      </c>
      <c r="I23" s="12"/>
    </row>
    <row r="24" spans="1:12" x14ac:dyDescent="0.25">
      <c r="A24" t="s">
        <v>84</v>
      </c>
      <c r="B24" t="s">
        <v>2567</v>
      </c>
      <c r="C24" s="2" t="s">
        <v>512</v>
      </c>
      <c r="D24" s="3" t="s">
        <v>1764</v>
      </c>
      <c r="E24" t="s">
        <v>84</v>
      </c>
      <c r="F24" s="2" t="str">
        <f t="shared" si="3"/>
        <v>0</v>
      </c>
      <c r="G24" s="2" t="str">
        <f t="shared" si="4"/>
        <v>0</v>
      </c>
      <c r="H24" s="2" t="str">
        <f t="shared" si="5"/>
        <v>255</v>
      </c>
      <c r="I24" s="12"/>
    </row>
    <row r="25" spans="1:12" x14ac:dyDescent="0.25">
      <c r="A25" t="s">
        <v>513</v>
      </c>
      <c r="B25" t="s">
        <v>2567</v>
      </c>
      <c r="C25" s="2" t="s">
        <v>512</v>
      </c>
      <c r="D25" s="3" t="s">
        <v>1764</v>
      </c>
      <c r="E25" t="s">
        <v>84</v>
      </c>
      <c r="F25" s="2" t="str">
        <f t="shared" si="3"/>
        <v>0</v>
      </c>
      <c r="G25" s="2" t="str">
        <f t="shared" si="4"/>
        <v>0</v>
      </c>
      <c r="H25" s="2" t="str">
        <f t="shared" si="5"/>
        <v>255</v>
      </c>
      <c r="I25" s="12"/>
    </row>
    <row r="26" spans="1:12" x14ac:dyDescent="0.25">
      <c r="A26" t="s">
        <v>4</v>
      </c>
      <c r="B26" t="s">
        <v>2567</v>
      </c>
      <c r="C26" s="2" t="s">
        <v>512</v>
      </c>
      <c r="D26" s="3" t="s">
        <v>1764</v>
      </c>
      <c r="E26" t="s">
        <v>84</v>
      </c>
      <c r="F26" s="5">
        <v>0</v>
      </c>
      <c r="G26" s="5">
        <v>0</v>
      </c>
      <c r="H26" s="5">
        <v>255</v>
      </c>
      <c r="I26" s="12"/>
      <c r="L26" s="7"/>
    </row>
    <row r="27" spans="1:12" x14ac:dyDescent="0.25">
      <c r="A27" t="s">
        <v>377</v>
      </c>
      <c r="B27" t="s">
        <v>2567</v>
      </c>
      <c r="C27" s="2" t="s">
        <v>378</v>
      </c>
      <c r="D27" s="3" t="s">
        <v>1753</v>
      </c>
      <c r="E27" t="s">
        <v>84</v>
      </c>
      <c r="F27" s="2" t="str">
        <f>LEFT(D27,FIND(",",D27)-1)</f>
        <v>0</v>
      </c>
      <c r="G27" s="2" t="str">
        <f>MID(D27,FIND(",",D27)+1,FIND(",",D27,FIND(",",D27)+1)-FIND(",",D27)-1)</f>
        <v>104</v>
      </c>
      <c r="H27" s="2" t="str">
        <f>RIGHT(D27,LEN(D27)-FIND(",",D27,FIND(",",D27)+1))</f>
        <v>139</v>
      </c>
      <c r="I27" s="239"/>
    </row>
    <row r="28" spans="1:12" x14ac:dyDescent="0.25">
      <c r="A28" t="s">
        <v>1512</v>
      </c>
      <c r="B28" t="s">
        <v>2567</v>
      </c>
      <c r="C28" s="2" t="s">
        <v>2570</v>
      </c>
      <c r="D28" s="3" t="s">
        <v>2235</v>
      </c>
      <c r="E28" t="s">
        <v>84</v>
      </c>
      <c r="F28" s="5">
        <v>0</v>
      </c>
      <c r="G28" s="5">
        <v>115</v>
      </c>
      <c r="H28" s="5">
        <v>186</v>
      </c>
      <c r="I28" s="528"/>
      <c r="L28" s="7"/>
    </row>
    <row r="29" spans="1:12" x14ac:dyDescent="0.25">
      <c r="A29" t="s">
        <v>1392</v>
      </c>
      <c r="B29" t="s">
        <v>2567</v>
      </c>
      <c r="C29" s="2" t="s">
        <v>2571</v>
      </c>
      <c r="D29" s="3" t="s">
        <v>2116</v>
      </c>
      <c r="E29" t="s">
        <v>84</v>
      </c>
      <c r="F29" s="5">
        <v>0</v>
      </c>
      <c r="G29" s="5">
        <v>122</v>
      </c>
      <c r="H29" s="5">
        <v>166</v>
      </c>
      <c r="I29" s="363"/>
      <c r="L29" s="7"/>
    </row>
    <row r="30" spans="1:12" x14ac:dyDescent="0.25">
      <c r="A30" t="s">
        <v>566</v>
      </c>
      <c r="B30" t="s">
        <v>2567</v>
      </c>
      <c r="C30" s="2" t="s">
        <v>567</v>
      </c>
      <c r="D30" s="3" t="s">
        <v>1783</v>
      </c>
      <c r="E30" t="s">
        <v>84</v>
      </c>
      <c r="F30" s="2" t="str">
        <f>LEFT(D30,FIND(",",D30)-1)</f>
        <v>0</v>
      </c>
      <c r="G30" s="2" t="str">
        <f>MID(D30,FIND(",",D30)+1,FIND(",",D30,FIND(",",D30)+1)-FIND(",",D30)-1)</f>
        <v>127</v>
      </c>
      <c r="H30" s="2" t="str">
        <f>RIGHT(D30,LEN(D30)-FIND(",",D30,FIND(",",D30)+1))</f>
        <v>255</v>
      </c>
      <c r="I30" s="325"/>
    </row>
    <row r="31" spans="1:12" x14ac:dyDescent="0.25">
      <c r="A31" t="s">
        <v>14</v>
      </c>
      <c r="B31" t="s">
        <v>2567</v>
      </c>
      <c r="C31" s="2">
        <v>8080</v>
      </c>
      <c r="D31" s="3" t="s">
        <v>1771</v>
      </c>
      <c r="E31" t="s">
        <v>84</v>
      </c>
      <c r="F31" s="2" t="str">
        <f>LEFT(D31,FIND(",",D31)-1)</f>
        <v>0</v>
      </c>
      <c r="G31" s="2" t="str">
        <f>MID(D31,FIND(",",D31)+1,FIND(",",D31,FIND(",",D31)+1)-FIND(",",D31)-1)</f>
        <v>128</v>
      </c>
      <c r="H31" s="2" t="str">
        <f>RIGHT(D31,LEN(D31)-FIND(",",D31,FIND(",",D31)+1))</f>
        <v>128</v>
      </c>
      <c r="I31" s="25"/>
    </row>
    <row r="32" spans="1:12" x14ac:dyDescent="0.25">
      <c r="A32" t="s">
        <v>61</v>
      </c>
      <c r="B32" t="s">
        <v>2567</v>
      </c>
      <c r="C32" s="2">
        <v>8080</v>
      </c>
      <c r="D32" s="3" t="s">
        <v>1771</v>
      </c>
      <c r="E32" t="s">
        <v>84</v>
      </c>
      <c r="F32" s="2" t="str">
        <f>LEFT(D32,FIND(",",D32)-1)</f>
        <v>0</v>
      </c>
      <c r="G32" s="2" t="str">
        <f>MID(D32,FIND(",",D32)+1,FIND(",",D32,FIND(",",D32)+1)-FIND(",",D32)-1)</f>
        <v>128</v>
      </c>
      <c r="H32" s="2" t="str">
        <f>RIGHT(D32,LEN(D32)-FIND(",",D32,FIND(",",D32)+1))</f>
        <v>128</v>
      </c>
      <c r="I32" s="25"/>
    </row>
    <row r="33" spans="1:12" x14ac:dyDescent="0.25">
      <c r="A33" t="s">
        <v>1318</v>
      </c>
      <c r="B33" t="s">
        <v>2567</v>
      </c>
      <c r="C33" s="2" t="s">
        <v>567</v>
      </c>
      <c r="D33" s="3" t="s">
        <v>2031</v>
      </c>
      <c r="E33" t="s">
        <v>84</v>
      </c>
      <c r="F33" s="5">
        <v>0</v>
      </c>
      <c r="G33" s="5">
        <v>128</v>
      </c>
      <c r="H33" s="5">
        <v>255</v>
      </c>
      <c r="I33" s="570"/>
      <c r="L33" s="7"/>
    </row>
    <row r="34" spans="1:12" x14ac:dyDescent="0.25">
      <c r="A34" t="s">
        <v>536</v>
      </c>
      <c r="B34" t="s">
        <v>2567</v>
      </c>
      <c r="C34" s="2" t="s">
        <v>537</v>
      </c>
      <c r="D34" s="3" t="s">
        <v>1775</v>
      </c>
      <c r="E34" t="s">
        <v>84</v>
      </c>
      <c r="F34" s="2" t="str">
        <f>LEFT(D34,FIND(",",D34)-1)</f>
        <v>0</v>
      </c>
      <c r="G34" s="2" t="str">
        <f>MID(D34,FIND(",",D34)+1,FIND(",",D34,FIND(",",D34)+1)-FIND(",",D34)-1)</f>
        <v>134</v>
      </c>
      <c r="H34" s="2" t="str">
        <f>RIGHT(D34,LEN(D34)-FIND(",",D34,FIND(",",D34)+1))</f>
        <v>139</v>
      </c>
      <c r="I34" s="588"/>
    </row>
    <row r="35" spans="1:12" x14ac:dyDescent="0.25">
      <c r="A35" t="s">
        <v>1986</v>
      </c>
      <c r="B35" t="s">
        <v>2567</v>
      </c>
      <c r="C35" s="2" t="s">
        <v>2572</v>
      </c>
      <c r="D35" s="3" t="s">
        <v>2061</v>
      </c>
      <c r="E35" t="s">
        <v>84</v>
      </c>
      <c r="F35" s="5">
        <v>0</v>
      </c>
      <c r="G35" s="5">
        <v>135</v>
      </c>
      <c r="H35" s="5">
        <v>189</v>
      </c>
      <c r="I35" s="805"/>
      <c r="L35" s="7"/>
    </row>
    <row r="36" spans="1:12" x14ac:dyDescent="0.25">
      <c r="A36" t="s">
        <v>527</v>
      </c>
      <c r="B36" t="s">
        <v>2567</v>
      </c>
      <c r="C36" s="2" t="s">
        <v>528</v>
      </c>
      <c r="D36" s="3" t="s">
        <v>1770</v>
      </c>
      <c r="E36" t="s">
        <v>84</v>
      </c>
      <c r="F36" s="2" t="str">
        <f>LEFT(D36,FIND(",",D36)-1)</f>
        <v>0</v>
      </c>
      <c r="G36" s="2" t="str">
        <f>MID(D36,FIND(",",D36)+1,FIND(",",D36,FIND(",",D36)+1)-FIND(",",D36)-1)</f>
        <v>139</v>
      </c>
      <c r="H36" s="2" t="str">
        <f>RIGHT(D36,LEN(D36)-FIND(",",D36,FIND(",",D36)+1))</f>
        <v>139</v>
      </c>
      <c r="I36" s="111"/>
    </row>
    <row r="37" spans="1:12" x14ac:dyDescent="0.25">
      <c r="A37" t="s">
        <v>1440</v>
      </c>
      <c r="B37" t="s">
        <v>2567</v>
      </c>
      <c r="C37" s="2" t="s">
        <v>528</v>
      </c>
      <c r="D37" s="3" t="s">
        <v>2168</v>
      </c>
      <c r="E37" t="s">
        <v>84</v>
      </c>
      <c r="F37" s="5">
        <v>0</v>
      </c>
      <c r="G37" s="5">
        <v>140</v>
      </c>
      <c r="H37" s="5">
        <v>140</v>
      </c>
      <c r="I37" s="368"/>
      <c r="L37" s="7"/>
    </row>
    <row r="38" spans="1:12" x14ac:dyDescent="0.25">
      <c r="A38" t="s">
        <v>1985</v>
      </c>
      <c r="B38" t="s">
        <v>2567</v>
      </c>
      <c r="C38" s="2" t="s">
        <v>2573</v>
      </c>
      <c r="D38" s="3" t="s">
        <v>2060</v>
      </c>
      <c r="E38" t="s">
        <v>84</v>
      </c>
      <c r="F38" s="5">
        <v>0</v>
      </c>
      <c r="G38" s="5">
        <v>148</v>
      </c>
      <c r="H38" s="5">
        <v>176</v>
      </c>
      <c r="I38" s="738"/>
      <c r="L38" s="7"/>
    </row>
    <row r="39" spans="1:12" x14ac:dyDescent="0.25">
      <c r="A39" t="s">
        <v>375</v>
      </c>
      <c r="B39" t="s">
        <v>2567</v>
      </c>
      <c r="C39" s="2" t="s">
        <v>376</v>
      </c>
      <c r="D39" s="3" t="s">
        <v>1752</v>
      </c>
      <c r="E39" t="s">
        <v>84</v>
      </c>
      <c r="F39" s="2" t="str">
        <f>LEFT(D39,FIND(",",D39)-1)</f>
        <v>0</v>
      </c>
      <c r="G39" s="2" t="str">
        <f>MID(D39,FIND(",",D39)+1,FIND(",",D39,FIND(",",D39)+1)-FIND(",",D39)-1)</f>
        <v>154</v>
      </c>
      <c r="H39" s="2" t="str">
        <f>RIGHT(D39,LEN(D39)-FIND(",",D39,FIND(",",D39)+1))</f>
        <v>205</v>
      </c>
      <c r="I39" s="208"/>
    </row>
    <row r="40" spans="1:12" x14ac:dyDescent="0.25">
      <c r="A40" t="s">
        <v>373</v>
      </c>
      <c r="B40" t="s">
        <v>2567</v>
      </c>
      <c r="C40" s="2" t="s">
        <v>374</v>
      </c>
      <c r="D40" s="3" t="s">
        <v>1751</v>
      </c>
      <c r="E40" t="s">
        <v>84</v>
      </c>
      <c r="F40" s="2" t="str">
        <f>LEFT(D40,FIND(",",D40)-1)</f>
        <v>0</v>
      </c>
      <c r="G40" s="2" t="str">
        <f>MID(D40,FIND(",",D40)+1,FIND(",",D40,FIND(",",D40)+1)-FIND(",",D40)-1)</f>
        <v>178</v>
      </c>
      <c r="H40" s="2" t="str">
        <f>RIGHT(D40,LEN(D40)-FIND(",",D40,FIND(",",D40)+1))</f>
        <v>238</v>
      </c>
      <c r="I40" s="177"/>
    </row>
    <row r="41" spans="1:12" x14ac:dyDescent="0.25">
      <c r="A41" t="s">
        <v>1997</v>
      </c>
      <c r="B41" t="s">
        <v>2567</v>
      </c>
      <c r="C41" s="2" t="s">
        <v>2574</v>
      </c>
      <c r="D41" s="3" t="s">
        <v>2162</v>
      </c>
      <c r="E41" t="s">
        <v>84</v>
      </c>
      <c r="F41" s="5">
        <v>0</v>
      </c>
      <c r="G41" s="5">
        <v>184</v>
      </c>
      <c r="H41" s="5">
        <v>235</v>
      </c>
      <c r="I41" s="307"/>
      <c r="L41" s="7"/>
    </row>
    <row r="42" spans="1:12" x14ac:dyDescent="0.25">
      <c r="A42" t="s">
        <v>75</v>
      </c>
      <c r="B42" t="s">
        <v>2567</v>
      </c>
      <c r="C42" s="2" t="s">
        <v>371</v>
      </c>
      <c r="D42" s="3" t="s">
        <v>1750</v>
      </c>
      <c r="E42" t="s">
        <v>84</v>
      </c>
      <c r="F42" s="2" t="str">
        <f>LEFT(D42,FIND(",",D42)-1)</f>
        <v>0</v>
      </c>
      <c r="G42" s="2" t="str">
        <f>MID(D42,FIND(",",D42)+1,FIND(",",D42,FIND(",",D42)+1)-FIND(",",D42)-1)</f>
        <v>191</v>
      </c>
      <c r="H42" s="2" t="str">
        <f>RIGHT(D42,LEN(D42)-FIND(",",D42,FIND(",",D42)+1))</f>
        <v>255</v>
      </c>
      <c r="I42" s="148"/>
    </row>
    <row r="43" spans="1:12" x14ac:dyDescent="0.25">
      <c r="A43" t="s">
        <v>370</v>
      </c>
      <c r="B43" t="s">
        <v>2567</v>
      </c>
      <c r="C43" s="2" t="s">
        <v>371</v>
      </c>
      <c r="D43" s="3" t="s">
        <v>1750</v>
      </c>
      <c r="E43" t="s">
        <v>84</v>
      </c>
      <c r="F43" s="2" t="str">
        <f>LEFT(D43,FIND(",",D43)-1)</f>
        <v>0</v>
      </c>
      <c r="G43" s="2" t="str">
        <f>MID(D43,FIND(",",D43)+1,FIND(",",D43,FIND(",",D43)+1)-FIND(",",D43)-1)</f>
        <v>191</v>
      </c>
      <c r="H43" s="2" t="str">
        <f>RIGHT(D43,LEN(D43)-FIND(",",D43,FIND(",",D43)+1))</f>
        <v>255</v>
      </c>
      <c r="I43" s="148"/>
    </row>
    <row r="44" spans="1:12" x14ac:dyDescent="0.25">
      <c r="A44" t="s">
        <v>372</v>
      </c>
      <c r="B44" t="s">
        <v>2567</v>
      </c>
      <c r="C44" s="2" t="s">
        <v>371</v>
      </c>
      <c r="D44" s="3" t="s">
        <v>1750</v>
      </c>
      <c r="E44" t="s">
        <v>84</v>
      </c>
      <c r="F44" s="2" t="str">
        <f>LEFT(D44,FIND(",",D44)-1)</f>
        <v>0</v>
      </c>
      <c r="G44" s="2" t="str">
        <f>MID(D44,FIND(",",D44)+1,FIND(",",D44,FIND(",",D44)+1)-FIND(",",D44)-1)</f>
        <v>191</v>
      </c>
      <c r="H44" s="2" t="str">
        <f>RIGHT(D44,LEN(D44)-FIND(",",D44,FIND(",",D44)+1))</f>
        <v>255</v>
      </c>
      <c r="I44" s="148"/>
    </row>
    <row r="45" spans="1:12" x14ac:dyDescent="0.25">
      <c r="A45" t="s">
        <v>1379</v>
      </c>
      <c r="B45" t="s">
        <v>2567</v>
      </c>
      <c r="C45" s="2" t="s">
        <v>371</v>
      </c>
      <c r="D45" s="3" t="s">
        <v>1750</v>
      </c>
      <c r="E45" t="s">
        <v>84</v>
      </c>
      <c r="F45" s="5">
        <v>0</v>
      </c>
      <c r="G45" s="5">
        <v>191</v>
      </c>
      <c r="H45" s="5">
        <v>255</v>
      </c>
      <c r="I45" s="148"/>
      <c r="L45" s="7"/>
    </row>
    <row r="46" spans="1:12" x14ac:dyDescent="0.25">
      <c r="A46" t="s">
        <v>1468</v>
      </c>
      <c r="B46" t="s">
        <v>2567</v>
      </c>
      <c r="C46" s="2" t="s">
        <v>371</v>
      </c>
      <c r="D46" s="3" t="s">
        <v>1750</v>
      </c>
      <c r="E46" t="s">
        <v>84</v>
      </c>
      <c r="F46" s="5">
        <v>0</v>
      </c>
      <c r="G46" s="5">
        <v>191</v>
      </c>
      <c r="H46" s="5">
        <v>255</v>
      </c>
      <c r="I46" s="148"/>
      <c r="L46" s="7"/>
    </row>
    <row r="47" spans="1:12" x14ac:dyDescent="0.25">
      <c r="A47" t="s">
        <v>534</v>
      </c>
      <c r="B47" t="s">
        <v>2567</v>
      </c>
      <c r="C47" s="2" t="s">
        <v>535</v>
      </c>
      <c r="D47" s="3" t="s">
        <v>1774</v>
      </c>
      <c r="E47" t="s">
        <v>84</v>
      </c>
      <c r="F47" s="2" t="str">
        <f>LEFT(D47,FIND(",",D47)-1)</f>
        <v>0</v>
      </c>
      <c r="G47" s="2" t="str">
        <f>MID(D47,FIND(",",D47)+1,FIND(",",D47,FIND(",",D47)+1)-FIND(",",D47)-1)</f>
        <v>197</v>
      </c>
      <c r="H47" s="2" t="str">
        <f>RIGHT(D47,LEN(D47)-FIND(",",D47,FIND(",",D47)+1))</f>
        <v>205</v>
      </c>
      <c r="I47" s="542"/>
    </row>
    <row r="48" spans="1:12" x14ac:dyDescent="0.25">
      <c r="A48" t="s">
        <v>525</v>
      </c>
      <c r="B48" t="s">
        <v>2567</v>
      </c>
      <c r="C48" s="2" t="s">
        <v>526</v>
      </c>
      <c r="D48" s="3" t="s">
        <v>1769</v>
      </c>
      <c r="E48" t="s">
        <v>84</v>
      </c>
      <c r="F48" s="2" t="str">
        <f>LEFT(D48,FIND(",",D48)-1)</f>
        <v>0</v>
      </c>
      <c r="G48" s="2" t="str">
        <f>MID(D48,FIND(",",D48)+1,FIND(",",D48,FIND(",",D48)+1)-FIND(",",D48)-1)</f>
        <v>205</v>
      </c>
      <c r="H48" s="2" t="str">
        <f>RIGHT(D48,LEN(D48)-FIND(",",D48,FIND(",",D48)+1))</f>
        <v>205</v>
      </c>
      <c r="I48" s="704"/>
    </row>
    <row r="49" spans="1:12" x14ac:dyDescent="0.25">
      <c r="A49" t="s">
        <v>66</v>
      </c>
      <c r="B49" t="s">
        <v>2567</v>
      </c>
      <c r="C49" s="2" t="s">
        <v>369</v>
      </c>
      <c r="D49" s="3" t="s">
        <v>1749</v>
      </c>
      <c r="E49" t="s">
        <v>84</v>
      </c>
      <c r="F49" s="2" t="str">
        <f>LEFT(D49,FIND(",",D49)-1)</f>
        <v>0</v>
      </c>
      <c r="G49" s="2" t="str">
        <f>MID(D49,FIND(",",D49)+1,FIND(",",D49,FIND(",",D49)+1)-FIND(",",D49)-1)</f>
        <v>206</v>
      </c>
      <c r="H49" s="2" t="str">
        <f>RIGHT(D49,LEN(D49)-FIND(",",D49,FIND(",",D49)+1))</f>
        <v>209</v>
      </c>
      <c r="I49" s="53"/>
    </row>
    <row r="50" spans="1:12" x14ac:dyDescent="0.25">
      <c r="A50" t="s">
        <v>368</v>
      </c>
      <c r="B50" t="s">
        <v>2567</v>
      </c>
      <c r="C50" s="2" t="s">
        <v>369</v>
      </c>
      <c r="D50" s="3" t="s">
        <v>1749</v>
      </c>
      <c r="E50" t="s">
        <v>84</v>
      </c>
      <c r="F50" s="2" t="str">
        <f>LEFT(D50,FIND(",",D50)-1)</f>
        <v>0</v>
      </c>
      <c r="G50" s="2" t="str">
        <f>MID(D50,FIND(",",D50)+1,FIND(",",D50,FIND(",",D50)+1)-FIND(",",D50)-1)</f>
        <v>206</v>
      </c>
      <c r="H50" s="2" t="str">
        <f>RIGHT(D50,LEN(D50)-FIND(",",D50,FIND(",",D50)+1))</f>
        <v>209</v>
      </c>
      <c r="I50" s="53"/>
    </row>
    <row r="51" spans="1:12" x14ac:dyDescent="0.25">
      <c r="A51" t="s">
        <v>1459</v>
      </c>
      <c r="B51" t="s">
        <v>2567</v>
      </c>
      <c r="C51" s="2" t="s">
        <v>369</v>
      </c>
      <c r="D51" s="3" t="s">
        <v>2188</v>
      </c>
      <c r="E51" t="s">
        <v>84</v>
      </c>
      <c r="F51" s="5">
        <v>0</v>
      </c>
      <c r="G51" s="5">
        <v>207</v>
      </c>
      <c r="H51" s="5">
        <v>209</v>
      </c>
      <c r="I51" s="846"/>
      <c r="L51" s="7"/>
    </row>
    <row r="52" spans="1:12" x14ac:dyDescent="0.25">
      <c r="A52" t="s">
        <v>532</v>
      </c>
      <c r="B52" t="s">
        <v>2567</v>
      </c>
      <c r="C52" s="2" t="s">
        <v>533</v>
      </c>
      <c r="D52" s="3" t="s">
        <v>1773</v>
      </c>
      <c r="E52" t="s">
        <v>84</v>
      </c>
      <c r="F52" s="2" t="str">
        <f>LEFT(D52,FIND(",",D52)-1)</f>
        <v>0</v>
      </c>
      <c r="G52" s="2" t="str">
        <f>MID(D52,FIND(",",D52)+1,FIND(",",D52,FIND(",",D52)+1)-FIND(",",D52)-1)</f>
        <v>229</v>
      </c>
      <c r="H52" s="2" t="str">
        <f>RIGHT(D52,LEN(D52)-FIND(",",D52,FIND(",",D52)+1))</f>
        <v>238</v>
      </c>
      <c r="I52" s="62"/>
    </row>
    <row r="53" spans="1:12" x14ac:dyDescent="0.25">
      <c r="A53" t="s">
        <v>1987</v>
      </c>
      <c r="B53" t="s">
        <v>2567</v>
      </c>
      <c r="C53" s="2" t="s">
        <v>2575</v>
      </c>
      <c r="D53" s="3" t="s">
        <v>2062</v>
      </c>
      <c r="E53" t="s">
        <v>84</v>
      </c>
      <c r="F53" s="5">
        <v>0</v>
      </c>
      <c r="G53" s="5">
        <v>23</v>
      </c>
      <c r="H53" s="5">
        <v>168</v>
      </c>
      <c r="I53" s="294"/>
      <c r="L53" s="7"/>
    </row>
    <row r="54" spans="1:12" x14ac:dyDescent="0.25">
      <c r="A54" t="s">
        <v>523</v>
      </c>
      <c r="B54" t="s">
        <v>2567</v>
      </c>
      <c r="C54" s="2" t="s">
        <v>524</v>
      </c>
      <c r="D54" s="3" t="s">
        <v>1768</v>
      </c>
      <c r="E54" t="s">
        <v>84</v>
      </c>
      <c r="F54" s="2" t="str">
        <f t="shared" ref="F54:F61" si="6">LEFT(D54,FIND(",",D54)-1)</f>
        <v>0</v>
      </c>
      <c r="G54" s="2" t="str">
        <f t="shared" ref="G54:G61" si="7">MID(D54,FIND(",",D54)+1,FIND(",",D54,FIND(",",D54)+1)-FIND(",",D54)-1)</f>
        <v>238</v>
      </c>
      <c r="H54" s="2" t="str">
        <f t="shared" ref="H54:H61" si="8">RIGHT(D54,LEN(D54)-FIND(",",D54,FIND(",",D54)+1))</f>
        <v>238</v>
      </c>
      <c r="I54" s="647"/>
    </row>
    <row r="55" spans="1:12" x14ac:dyDescent="0.25">
      <c r="A55" t="s">
        <v>530</v>
      </c>
      <c r="B55" t="s">
        <v>2567</v>
      </c>
      <c r="C55" s="2" t="s">
        <v>531</v>
      </c>
      <c r="D55" s="3" t="s">
        <v>1772</v>
      </c>
      <c r="E55" t="s">
        <v>84</v>
      </c>
      <c r="F55" s="2" t="str">
        <f t="shared" si="6"/>
        <v>0</v>
      </c>
      <c r="G55" s="2" t="str">
        <f t="shared" si="7"/>
        <v>245</v>
      </c>
      <c r="H55" s="2" t="str">
        <f t="shared" si="8"/>
        <v>255</v>
      </c>
      <c r="I55" s="472"/>
    </row>
    <row r="56" spans="1:12" x14ac:dyDescent="0.25">
      <c r="A56" t="s">
        <v>6</v>
      </c>
      <c r="B56" t="s">
        <v>2567</v>
      </c>
      <c r="C56" s="2" t="s">
        <v>519</v>
      </c>
      <c r="D56" s="3" t="s">
        <v>1767</v>
      </c>
      <c r="E56" t="s">
        <v>84</v>
      </c>
      <c r="F56" s="2" t="str">
        <f t="shared" si="6"/>
        <v>0</v>
      </c>
      <c r="G56" s="2" t="str">
        <f t="shared" si="7"/>
        <v>255</v>
      </c>
      <c r="H56" s="2" t="str">
        <f t="shared" si="8"/>
        <v>255</v>
      </c>
      <c r="I56" s="15"/>
    </row>
    <row r="57" spans="1:12" x14ac:dyDescent="0.25">
      <c r="A57" t="s">
        <v>63</v>
      </c>
      <c r="B57" t="s">
        <v>2567</v>
      </c>
      <c r="C57" s="2" t="s">
        <v>519</v>
      </c>
      <c r="D57" s="3" t="s">
        <v>1767</v>
      </c>
      <c r="E57" t="s">
        <v>84</v>
      </c>
      <c r="F57" s="2" t="str">
        <f t="shared" si="6"/>
        <v>0</v>
      </c>
      <c r="G57" s="2" t="str">
        <f t="shared" si="7"/>
        <v>255</v>
      </c>
      <c r="H57" s="2" t="str">
        <f t="shared" si="8"/>
        <v>255</v>
      </c>
      <c r="I57" s="15"/>
    </row>
    <row r="58" spans="1:12" x14ac:dyDescent="0.25">
      <c r="A58" t="s">
        <v>64</v>
      </c>
      <c r="B58" t="s">
        <v>2567</v>
      </c>
      <c r="C58" s="2" t="s">
        <v>519</v>
      </c>
      <c r="D58" s="3" t="s">
        <v>1767</v>
      </c>
      <c r="E58" t="s">
        <v>84</v>
      </c>
      <c r="F58" s="2" t="str">
        <f t="shared" si="6"/>
        <v>0</v>
      </c>
      <c r="G58" s="2" t="str">
        <f t="shared" si="7"/>
        <v>255</v>
      </c>
      <c r="H58" s="2" t="str">
        <f t="shared" si="8"/>
        <v>255</v>
      </c>
      <c r="I58" s="15"/>
    </row>
    <row r="59" spans="1:12" x14ac:dyDescent="0.25">
      <c r="A59" t="s">
        <v>63</v>
      </c>
      <c r="B59" t="s">
        <v>2567</v>
      </c>
      <c r="C59" s="2" t="s">
        <v>519</v>
      </c>
      <c r="D59" s="3" t="s">
        <v>1767</v>
      </c>
      <c r="E59" t="s">
        <v>84</v>
      </c>
      <c r="F59" s="2" t="str">
        <f t="shared" si="6"/>
        <v>0</v>
      </c>
      <c r="G59" s="2" t="str">
        <f t="shared" si="7"/>
        <v>255</v>
      </c>
      <c r="H59" s="2" t="str">
        <f t="shared" si="8"/>
        <v>255</v>
      </c>
      <c r="I59" s="15"/>
    </row>
    <row r="60" spans="1:12" x14ac:dyDescent="0.25">
      <c r="A60" t="s">
        <v>64</v>
      </c>
      <c r="B60" t="s">
        <v>2567</v>
      </c>
      <c r="C60" s="2" t="s">
        <v>519</v>
      </c>
      <c r="D60" s="3" t="s">
        <v>1767</v>
      </c>
      <c r="E60" t="s">
        <v>84</v>
      </c>
      <c r="F60" s="2" t="str">
        <f t="shared" si="6"/>
        <v>0</v>
      </c>
      <c r="G60" s="2" t="str">
        <f t="shared" si="7"/>
        <v>255</v>
      </c>
      <c r="H60" s="2" t="str">
        <f t="shared" si="8"/>
        <v>255</v>
      </c>
      <c r="I60" s="15"/>
    </row>
    <row r="61" spans="1:12" x14ac:dyDescent="0.25">
      <c r="A61" t="s">
        <v>522</v>
      </c>
      <c r="B61" t="s">
        <v>2567</v>
      </c>
      <c r="C61" s="2" t="s">
        <v>519</v>
      </c>
      <c r="D61" s="3" t="s">
        <v>1767</v>
      </c>
      <c r="E61" t="s">
        <v>84</v>
      </c>
      <c r="F61" s="2" t="str">
        <f t="shared" si="6"/>
        <v>0</v>
      </c>
      <c r="G61" s="2" t="str">
        <f t="shared" si="7"/>
        <v>255</v>
      </c>
      <c r="H61" s="2" t="str">
        <f t="shared" si="8"/>
        <v>255</v>
      </c>
      <c r="I61" s="15"/>
    </row>
    <row r="62" spans="1:12" x14ac:dyDescent="0.25">
      <c r="A62" t="s">
        <v>1311</v>
      </c>
      <c r="B62" t="s">
        <v>2567</v>
      </c>
      <c r="C62" s="2" t="s">
        <v>519</v>
      </c>
      <c r="D62" s="3" t="s">
        <v>1767</v>
      </c>
      <c r="E62" t="s">
        <v>84</v>
      </c>
      <c r="F62" s="5">
        <v>0</v>
      </c>
      <c r="G62" s="5">
        <v>255</v>
      </c>
      <c r="H62" s="5">
        <v>255</v>
      </c>
      <c r="I62" s="15"/>
      <c r="L62" s="7"/>
    </row>
    <row r="63" spans="1:12" x14ac:dyDescent="0.25">
      <c r="A63" t="s">
        <v>1434</v>
      </c>
      <c r="B63" t="s">
        <v>2567</v>
      </c>
      <c r="C63" s="2" t="s">
        <v>519</v>
      </c>
      <c r="D63" s="3" t="s">
        <v>1767</v>
      </c>
      <c r="E63" t="s">
        <v>84</v>
      </c>
      <c r="F63" s="5">
        <v>0</v>
      </c>
      <c r="G63" s="5">
        <v>255</v>
      </c>
      <c r="H63" s="5">
        <v>255</v>
      </c>
      <c r="I63" s="15"/>
      <c r="L63" s="7"/>
    </row>
    <row r="64" spans="1:12" x14ac:dyDescent="0.25">
      <c r="A64" t="s">
        <v>462</v>
      </c>
      <c r="B64" t="s">
        <v>2567</v>
      </c>
      <c r="C64" s="2">
        <v>2266</v>
      </c>
      <c r="D64" s="3" t="s">
        <v>1760</v>
      </c>
      <c r="E64" t="s">
        <v>84</v>
      </c>
      <c r="F64" s="2" t="str">
        <f>LEFT(D64,FIND(",",D64)-1)</f>
        <v>0</v>
      </c>
      <c r="G64" s="2" t="str">
        <f>MID(D64,FIND(",",D64)+1,FIND(",",D64,FIND(",",D64)+1)-FIND(",",D64)-1)</f>
        <v>34</v>
      </c>
      <c r="H64" s="2" t="str">
        <f>RIGHT(D64,LEN(D64)-FIND(",",D64,FIND(",",D64)+1))</f>
        <v>102</v>
      </c>
      <c r="I64" s="393"/>
    </row>
    <row r="65" spans="1:12" x14ac:dyDescent="0.25">
      <c r="A65" t="s">
        <v>1289</v>
      </c>
      <c r="B65" t="s">
        <v>2567</v>
      </c>
      <c r="C65" s="2" t="s">
        <v>2576</v>
      </c>
      <c r="D65" s="3" t="s">
        <v>2002</v>
      </c>
      <c r="E65" t="s">
        <v>84</v>
      </c>
      <c r="F65" s="5">
        <v>0</v>
      </c>
      <c r="G65" s="5">
        <v>71</v>
      </c>
      <c r="H65" s="5">
        <v>186</v>
      </c>
      <c r="I65" s="350"/>
      <c r="L65" s="7"/>
    </row>
    <row r="66" spans="1:12" x14ac:dyDescent="0.25">
      <c r="A66" t="s">
        <v>364</v>
      </c>
      <c r="B66" t="s">
        <v>2567</v>
      </c>
      <c r="C66" s="2" t="s">
        <v>365</v>
      </c>
      <c r="D66" s="3" t="s">
        <v>1651</v>
      </c>
      <c r="E66" t="s">
        <v>84</v>
      </c>
      <c r="F66" s="2" t="str">
        <f>LEFT(D66,FIND(",",D66)-1)</f>
        <v>100</v>
      </c>
      <c r="G66" s="2" t="str">
        <f>MID(D66,FIND(",",D66)+1,FIND(",",D66,FIND(",",D66)+1)-FIND(",",D66)-1)</f>
        <v xml:space="preserve"> 149</v>
      </c>
      <c r="H66" s="2" t="str">
        <f>RIGHT(D66,LEN(D66)-FIND(",",D66,FIND(",",D66)+1))</f>
        <v xml:space="preserve"> 237</v>
      </c>
      <c r="I66" s="215"/>
    </row>
    <row r="67" spans="1:12" x14ac:dyDescent="0.25">
      <c r="A67" t="s">
        <v>74</v>
      </c>
      <c r="B67" t="s">
        <v>2567</v>
      </c>
      <c r="C67" s="2" t="s">
        <v>365</v>
      </c>
      <c r="D67" s="3" t="s">
        <v>2296</v>
      </c>
      <c r="E67" t="s">
        <v>84</v>
      </c>
      <c r="F67" s="2" t="str">
        <f>LEFT(D67,FIND(",",D67)-1)</f>
        <v>100</v>
      </c>
      <c r="G67" s="2" t="str">
        <f>MID(D67,FIND(",",D67)+1,FIND(",",D67,FIND(",",D67)+1)-FIND(",",D67)-1)</f>
        <v>149</v>
      </c>
      <c r="H67" s="2" t="str">
        <f>RIGHT(D67,LEN(D67)-FIND(",",D67,FIND(",",D67)+1))</f>
        <v>237</v>
      </c>
      <c r="I67" s="215"/>
    </row>
    <row r="68" spans="1:12" x14ac:dyDescent="0.25">
      <c r="A68" t="s">
        <v>364</v>
      </c>
      <c r="B68" t="s">
        <v>2567</v>
      </c>
      <c r="C68" s="2" t="s">
        <v>365</v>
      </c>
      <c r="D68" s="3" t="s">
        <v>2296</v>
      </c>
      <c r="E68" t="s">
        <v>84</v>
      </c>
      <c r="F68" s="2" t="str">
        <f>LEFT(D68,FIND(",",D68)-1)</f>
        <v>100</v>
      </c>
      <c r="G68" s="2" t="str">
        <f>MID(D68,FIND(",",D68)+1,FIND(",",D68,FIND(",",D68)+1)-FIND(",",D68)-1)</f>
        <v>149</v>
      </c>
      <c r="H68" s="2" t="str">
        <f>RIGHT(D68,LEN(D68)-FIND(",",D68,FIND(",",D68)+1))</f>
        <v>237</v>
      </c>
      <c r="I68" s="215"/>
    </row>
    <row r="69" spans="1:12" x14ac:dyDescent="0.25">
      <c r="A69" t="s">
        <v>449</v>
      </c>
      <c r="B69" t="s">
        <v>2567</v>
      </c>
      <c r="C69" s="2" t="s">
        <v>450</v>
      </c>
      <c r="D69" s="3" t="s">
        <v>2436</v>
      </c>
      <c r="E69" t="s">
        <v>84</v>
      </c>
      <c r="F69" s="2" t="str">
        <f>LEFT(D69,FIND(",",D69)-1)</f>
        <v>102</v>
      </c>
      <c r="G69" s="2" t="str">
        <f>MID(D69,FIND(",",D69)+1,FIND(",",D69,FIND(",",D69)+1)-FIND(",",D69)-1)</f>
        <v>139</v>
      </c>
      <c r="H69" s="2" t="str">
        <f>RIGHT(D69,LEN(D69)-FIND(",",D69,FIND(",",D69)+1))</f>
        <v>139</v>
      </c>
      <c r="I69" s="585"/>
    </row>
    <row r="70" spans="1:12" x14ac:dyDescent="0.25">
      <c r="A70" t="s">
        <v>3249</v>
      </c>
      <c r="B70" t="s">
        <v>2567</v>
      </c>
      <c r="C70" s="2" t="s">
        <v>494</v>
      </c>
      <c r="D70" s="3" t="s">
        <v>2065</v>
      </c>
      <c r="E70" t="s">
        <v>84</v>
      </c>
      <c r="F70" s="2" t="str">
        <f>LEFT(D70,FIND(",",D70)-1)</f>
        <v>102</v>
      </c>
      <c r="G70" s="2" t="str">
        <f>MID(D70,FIND(",",D70)+1,FIND(",",D70,FIND(",",D70)+1)-FIND(",",D70)-1)</f>
        <v>153</v>
      </c>
      <c r="H70" s="2" t="str">
        <f>RIGHT(D70,LEN(D70)-FIND(",",D70,FIND(",",D70)+1))</f>
        <v>204</v>
      </c>
      <c r="I70" s="245"/>
    </row>
    <row r="71" spans="1:12" x14ac:dyDescent="0.25">
      <c r="A71" t="s">
        <v>1979</v>
      </c>
      <c r="B71" t="s">
        <v>2567</v>
      </c>
      <c r="C71" s="2" t="s">
        <v>494</v>
      </c>
      <c r="D71" s="3" t="s">
        <v>2065</v>
      </c>
      <c r="E71" t="s">
        <v>84</v>
      </c>
      <c r="F71" s="5">
        <v>102</v>
      </c>
      <c r="G71" s="5">
        <v>153</v>
      </c>
      <c r="H71" s="5">
        <v>204</v>
      </c>
      <c r="I71" s="245"/>
      <c r="L71" s="7"/>
    </row>
    <row r="72" spans="1:12" x14ac:dyDescent="0.25">
      <c r="A72" t="s">
        <v>500</v>
      </c>
      <c r="B72" t="s">
        <v>2567</v>
      </c>
      <c r="C72" s="2" t="s">
        <v>501</v>
      </c>
      <c r="D72" s="3" t="s">
        <v>2285</v>
      </c>
      <c r="E72" t="s">
        <v>84</v>
      </c>
      <c r="F72" s="2" t="str">
        <f t="shared" ref="F72:F78" si="9">LEFT(D72,FIND(",",D72)-1)</f>
        <v>102</v>
      </c>
      <c r="G72" s="2" t="str">
        <f t="shared" ref="G72:G78" si="10">MID(D72,FIND(",",D72)+1,FIND(",",D72,FIND(",",D72)+1)-FIND(",",D72)-1)</f>
        <v>205</v>
      </c>
      <c r="H72" s="2" t="str">
        <f t="shared" ref="H72:H78" si="11">RIGHT(D72,LEN(D72)-FIND(",",D72,FIND(",",D72)+1))</f>
        <v>170</v>
      </c>
      <c r="I72" s="183"/>
    </row>
    <row r="73" spans="1:12" x14ac:dyDescent="0.25">
      <c r="A73" t="s">
        <v>397</v>
      </c>
      <c r="B73" t="s">
        <v>2567</v>
      </c>
      <c r="C73" s="2" t="s">
        <v>398</v>
      </c>
      <c r="D73" s="3" t="s">
        <v>2418</v>
      </c>
      <c r="E73" t="s">
        <v>84</v>
      </c>
      <c r="F73" s="2" t="str">
        <f t="shared" si="9"/>
        <v>104</v>
      </c>
      <c r="G73" s="2" t="str">
        <f t="shared" si="10"/>
        <v>131</v>
      </c>
      <c r="H73" s="2" t="str">
        <f t="shared" si="11"/>
        <v>139</v>
      </c>
      <c r="I73" s="55"/>
    </row>
    <row r="74" spans="1:12" x14ac:dyDescent="0.25">
      <c r="A74" t="s">
        <v>479</v>
      </c>
      <c r="B74" t="s">
        <v>2567</v>
      </c>
      <c r="C74" s="2" t="s">
        <v>480</v>
      </c>
      <c r="D74" s="3" t="s">
        <v>1762</v>
      </c>
      <c r="E74" t="s">
        <v>84</v>
      </c>
      <c r="F74" s="2" t="str">
        <f t="shared" si="9"/>
        <v>105</v>
      </c>
      <c r="G74" s="2" t="str">
        <f t="shared" si="10"/>
        <v>89</v>
      </c>
      <c r="H74" s="2" t="str">
        <f t="shared" si="11"/>
        <v>205</v>
      </c>
      <c r="I74" s="322"/>
    </row>
    <row r="75" spans="1:12" x14ac:dyDescent="0.25">
      <c r="A75" t="s">
        <v>89</v>
      </c>
      <c r="B75" t="s">
        <v>2567</v>
      </c>
      <c r="C75" s="2" t="s">
        <v>474</v>
      </c>
      <c r="D75" s="3" t="s">
        <v>1761</v>
      </c>
      <c r="E75" t="s">
        <v>84</v>
      </c>
      <c r="F75" s="2" t="str">
        <f t="shared" si="9"/>
        <v>106</v>
      </c>
      <c r="G75" s="2" t="str">
        <f t="shared" si="10"/>
        <v>90</v>
      </c>
      <c r="H75" s="2" t="str">
        <f t="shared" si="11"/>
        <v>205</v>
      </c>
      <c r="I75" s="185"/>
    </row>
    <row r="76" spans="1:12" x14ac:dyDescent="0.25">
      <c r="A76" t="s">
        <v>473</v>
      </c>
      <c r="B76" t="s">
        <v>2567</v>
      </c>
      <c r="C76" s="2" t="s">
        <v>474</v>
      </c>
      <c r="D76" s="3" t="s">
        <v>1761</v>
      </c>
      <c r="E76" t="s">
        <v>84</v>
      </c>
      <c r="F76" s="2" t="str">
        <f t="shared" si="9"/>
        <v>106</v>
      </c>
      <c r="G76" s="2" t="str">
        <f t="shared" si="10"/>
        <v>90</v>
      </c>
      <c r="H76" s="2" t="str">
        <f t="shared" si="11"/>
        <v>205</v>
      </c>
      <c r="I76" s="185"/>
    </row>
    <row r="77" spans="1:12" x14ac:dyDescent="0.25">
      <c r="A77" t="s">
        <v>469</v>
      </c>
      <c r="B77" t="s">
        <v>2567</v>
      </c>
      <c r="C77" s="2" t="s">
        <v>470</v>
      </c>
      <c r="D77" s="3" t="s">
        <v>2441</v>
      </c>
      <c r="E77" t="s">
        <v>84</v>
      </c>
      <c r="F77" s="2" t="str">
        <f t="shared" si="9"/>
        <v>108</v>
      </c>
      <c r="G77" s="2" t="str">
        <f t="shared" si="10"/>
        <v>166</v>
      </c>
      <c r="H77" s="2" t="str">
        <f t="shared" si="11"/>
        <v>205</v>
      </c>
      <c r="I77" s="586"/>
    </row>
    <row r="78" spans="1:12" x14ac:dyDescent="0.25">
      <c r="A78" t="s">
        <v>429</v>
      </c>
      <c r="B78" t="s">
        <v>2567</v>
      </c>
      <c r="C78" s="2" t="s">
        <v>430</v>
      </c>
      <c r="D78" s="3" t="s">
        <v>2431</v>
      </c>
      <c r="E78" t="s">
        <v>84</v>
      </c>
      <c r="F78" s="2" t="str">
        <f t="shared" si="9"/>
        <v>110</v>
      </c>
      <c r="G78" s="2" t="str">
        <f t="shared" si="10"/>
        <v>123</v>
      </c>
      <c r="H78" s="2" t="str">
        <f t="shared" si="11"/>
        <v>139</v>
      </c>
      <c r="I78" s="537"/>
    </row>
    <row r="79" spans="1:12" x14ac:dyDescent="0.25">
      <c r="A79" t="s">
        <v>1394</v>
      </c>
      <c r="B79" t="s">
        <v>2567</v>
      </c>
      <c r="C79" s="2" t="s">
        <v>2577</v>
      </c>
      <c r="D79" s="3" t="s">
        <v>2118</v>
      </c>
      <c r="E79" t="s">
        <v>84</v>
      </c>
      <c r="F79" s="5">
        <v>110</v>
      </c>
      <c r="G79" s="5">
        <v>156</v>
      </c>
      <c r="H79" s="5">
        <v>194</v>
      </c>
      <c r="I79" s="443"/>
      <c r="L79" s="7"/>
    </row>
    <row r="80" spans="1:12" x14ac:dyDescent="0.25">
      <c r="A80" t="s">
        <v>548</v>
      </c>
      <c r="B80" t="s">
        <v>2567</v>
      </c>
      <c r="C80" s="2" t="s">
        <v>549</v>
      </c>
      <c r="D80" s="3" t="s">
        <v>2461</v>
      </c>
      <c r="E80" t="s">
        <v>84</v>
      </c>
      <c r="F80" s="2" t="str">
        <f>LEFT(D80,FIND(",",D80)-1)</f>
        <v>112</v>
      </c>
      <c r="G80" s="2" t="str">
        <f>MID(D80,FIND(",",D80)+1,FIND(",",D80,FIND(",",D80)+1)-FIND(",",D80)-1)</f>
        <v>147</v>
      </c>
      <c r="H80" s="2" t="str">
        <f>RIGHT(D80,LEN(D80)-FIND(",",D80,FIND(",",D80)+1))</f>
        <v>219</v>
      </c>
      <c r="I80" s="395"/>
    </row>
    <row r="81" spans="1:12" x14ac:dyDescent="0.25">
      <c r="A81" t="s">
        <v>431</v>
      </c>
      <c r="B81" t="s">
        <v>2567</v>
      </c>
      <c r="C81" s="2" t="s">
        <v>432</v>
      </c>
      <c r="D81" s="3" t="s">
        <v>2432</v>
      </c>
      <c r="E81" t="s">
        <v>84</v>
      </c>
      <c r="F81" s="2" t="str">
        <f>LEFT(D81,FIND(",",D81)-1)</f>
        <v>112</v>
      </c>
      <c r="G81" s="2" t="str">
        <f>MID(D81,FIND(",",D81)+1,FIND(",",D81,FIND(",",D81)+1)-FIND(",",D81)-1)</f>
        <v>219</v>
      </c>
      <c r="H81" s="2" t="str">
        <f>RIGHT(D81,LEN(D81)-FIND(",",D81,FIND(",",D81)+1))</f>
        <v>147</v>
      </c>
      <c r="I81" s="584"/>
    </row>
    <row r="82" spans="1:12" x14ac:dyDescent="0.25">
      <c r="A82" t="s">
        <v>552</v>
      </c>
      <c r="B82" t="s">
        <v>2567</v>
      </c>
      <c r="C82" s="2" t="s">
        <v>553</v>
      </c>
      <c r="D82" s="3" t="s">
        <v>2462</v>
      </c>
      <c r="E82" t="s">
        <v>84</v>
      </c>
      <c r="F82" s="2" t="str">
        <f>LEFT(D82,FIND(",",D82)-1)</f>
        <v>112</v>
      </c>
      <c r="G82" s="2" t="str">
        <f>MID(D82,FIND(",",D82)+1,FIND(",",D82,FIND(",",D82)+1)-FIND(",",D82)-1)</f>
        <v>219</v>
      </c>
      <c r="H82" s="2" t="str">
        <f>RIGHT(D82,LEN(D82)-FIND(",",D82,FIND(",",D82)+1))</f>
        <v>219</v>
      </c>
      <c r="I82" s="543"/>
    </row>
    <row r="83" spans="1:12" x14ac:dyDescent="0.25">
      <c r="A83" t="s">
        <v>1293</v>
      </c>
      <c r="B83" t="s">
        <v>2567</v>
      </c>
      <c r="C83" s="2" t="s">
        <v>2578</v>
      </c>
      <c r="D83" s="3" t="s">
        <v>2006</v>
      </c>
      <c r="E83" t="s">
        <v>84</v>
      </c>
      <c r="F83" s="5">
        <v>115</v>
      </c>
      <c r="G83" s="5">
        <v>161</v>
      </c>
      <c r="H83" s="5">
        <v>194</v>
      </c>
      <c r="I83" s="612"/>
      <c r="L83" s="7"/>
    </row>
    <row r="84" spans="1:12" x14ac:dyDescent="0.25">
      <c r="A84" t="s">
        <v>498</v>
      </c>
      <c r="B84" t="s">
        <v>2567</v>
      </c>
      <c r="C84" s="2" t="s">
        <v>499</v>
      </c>
      <c r="D84" s="3" t="s">
        <v>2451</v>
      </c>
      <c r="E84" t="s">
        <v>84</v>
      </c>
      <c r="F84" s="2" t="str">
        <f>LEFT(D84,FIND(",",D84)-1)</f>
        <v>118</v>
      </c>
      <c r="G84" s="2" t="str">
        <f>MID(D84,FIND(",",D84)+1,FIND(",",D84,FIND(",",D84)+1)-FIND(",",D84)-1)</f>
        <v>238</v>
      </c>
      <c r="H84" s="2" t="str">
        <f>RIGHT(D84,LEN(D84)-FIND(",",D84,FIND(",",D84)+1))</f>
        <v>198</v>
      </c>
      <c r="I84" s="61"/>
    </row>
    <row r="85" spans="1:12" x14ac:dyDescent="0.25">
      <c r="A85" t="s">
        <v>1519</v>
      </c>
      <c r="B85" t="s">
        <v>2567</v>
      </c>
      <c r="C85" s="2" t="s">
        <v>2579</v>
      </c>
      <c r="D85" s="3" t="s">
        <v>2242</v>
      </c>
      <c r="E85" t="s">
        <v>84</v>
      </c>
      <c r="F85" s="5">
        <v>120</v>
      </c>
      <c r="G85" s="5">
        <v>181</v>
      </c>
      <c r="H85" s="5">
        <v>255</v>
      </c>
      <c r="I85" s="457"/>
      <c r="L85" s="7"/>
    </row>
    <row r="86" spans="1:12" x14ac:dyDescent="0.25">
      <c r="A86" t="s">
        <v>543</v>
      </c>
      <c r="B86" t="s">
        <v>2567</v>
      </c>
      <c r="C86" s="2" t="s">
        <v>544</v>
      </c>
      <c r="D86" s="3" t="s">
        <v>2459</v>
      </c>
      <c r="E86" t="s">
        <v>84</v>
      </c>
      <c r="F86" s="2" t="str">
        <f t="shared" ref="F86:F92" si="12">LEFT(D86,FIND(",",D86)-1)</f>
        <v>121</v>
      </c>
      <c r="G86" s="2" t="str">
        <f t="shared" ref="G86:G92" si="13">MID(D86,FIND(",",D86)+1,FIND(",",D86,FIND(",",D86)+1)-FIND(",",D86)-1)</f>
        <v>205</v>
      </c>
      <c r="H86" s="2" t="str">
        <f t="shared" ref="H86:H92" si="14">RIGHT(D86,LEN(D86)-FIND(",",D86,FIND(",",D86)+1))</f>
        <v>205</v>
      </c>
      <c r="I86" s="776"/>
    </row>
    <row r="87" spans="1:12" x14ac:dyDescent="0.25">
      <c r="A87" t="s">
        <v>477</v>
      </c>
      <c r="B87" t="s">
        <v>2567</v>
      </c>
      <c r="C87" s="2" t="s">
        <v>478</v>
      </c>
      <c r="D87" s="3" t="s">
        <v>2444</v>
      </c>
      <c r="E87" t="s">
        <v>84</v>
      </c>
      <c r="F87" s="2" t="str">
        <f t="shared" si="12"/>
        <v>122</v>
      </c>
      <c r="G87" s="2" t="str">
        <f t="shared" si="13"/>
        <v>103</v>
      </c>
      <c r="H87" s="2" t="str">
        <f t="shared" si="14"/>
        <v>238</v>
      </c>
      <c r="I87" s="775"/>
    </row>
    <row r="88" spans="1:12" x14ac:dyDescent="0.25">
      <c r="A88" t="s">
        <v>406</v>
      </c>
      <c r="B88" t="s">
        <v>2567</v>
      </c>
      <c r="C88" s="2" t="s">
        <v>407</v>
      </c>
      <c r="D88" s="3" t="s">
        <v>2421</v>
      </c>
      <c r="E88" t="s">
        <v>84</v>
      </c>
      <c r="F88" s="2" t="str">
        <f t="shared" si="12"/>
        <v>122</v>
      </c>
      <c r="G88" s="2" t="str">
        <f t="shared" si="13"/>
        <v>139</v>
      </c>
      <c r="H88" s="2" t="str">
        <f t="shared" si="14"/>
        <v>139</v>
      </c>
      <c r="I88" s="241"/>
    </row>
    <row r="89" spans="1:12" x14ac:dyDescent="0.25">
      <c r="A89" t="s">
        <v>358</v>
      </c>
      <c r="B89" t="s">
        <v>2567</v>
      </c>
      <c r="C89" s="2" t="s">
        <v>359</v>
      </c>
      <c r="D89" s="3" t="s">
        <v>2410</v>
      </c>
      <c r="E89" t="s">
        <v>84</v>
      </c>
      <c r="F89" s="2" t="str">
        <f t="shared" si="12"/>
        <v>122</v>
      </c>
      <c r="G89" s="2" t="str">
        <f t="shared" si="13"/>
        <v>197</v>
      </c>
      <c r="H89" s="2" t="str">
        <f t="shared" si="14"/>
        <v>205</v>
      </c>
      <c r="I89" s="176"/>
    </row>
    <row r="90" spans="1:12" x14ac:dyDescent="0.25">
      <c r="A90" t="s">
        <v>435</v>
      </c>
      <c r="B90" t="s">
        <v>2567</v>
      </c>
      <c r="C90" s="2" t="s">
        <v>436</v>
      </c>
      <c r="D90" s="3" t="s">
        <v>1611</v>
      </c>
      <c r="E90" t="s">
        <v>84</v>
      </c>
      <c r="F90" s="2" t="str">
        <f t="shared" si="12"/>
        <v>123</v>
      </c>
      <c r="G90" s="2" t="str">
        <f t="shared" si="13"/>
        <v xml:space="preserve"> 104</v>
      </c>
      <c r="H90" s="2" t="str">
        <f t="shared" si="14"/>
        <v xml:space="preserve"> 238</v>
      </c>
      <c r="I90" s="217"/>
    </row>
    <row r="91" spans="1:12" x14ac:dyDescent="0.25">
      <c r="A91" t="s">
        <v>90</v>
      </c>
      <c r="B91" t="s">
        <v>2567</v>
      </c>
      <c r="C91" s="2" t="s">
        <v>436</v>
      </c>
      <c r="D91" s="3" t="s">
        <v>2302</v>
      </c>
      <c r="E91" t="s">
        <v>84</v>
      </c>
      <c r="F91" s="2" t="str">
        <f t="shared" si="12"/>
        <v>123</v>
      </c>
      <c r="G91" s="2" t="str">
        <f t="shared" si="13"/>
        <v>104</v>
      </c>
      <c r="H91" s="2" t="str">
        <f t="shared" si="14"/>
        <v>238</v>
      </c>
      <c r="I91" s="217"/>
    </row>
    <row r="92" spans="1:12" x14ac:dyDescent="0.25">
      <c r="A92" t="s">
        <v>435</v>
      </c>
      <c r="B92" t="s">
        <v>2567</v>
      </c>
      <c r="C92" s="2" t="s">
        <v>436</v>
      </c>
      <c r="D92" s="3" t="s">
        <v>2302</v>
      </c>
      <c r="E92" t="s">
        <v>84</v>
      </c>
      <c r="F92" s="2" t="str">
        <f t="shared" si="12"/>
        <v>123</v>
      </c>
      <c r="G92" s="2" t="str">
        <f t="shared" si="13"/>
        <v>104</v>
      </c>
      <c r="H92" s="2" t="str">
        <f t="shared" si="14"/>
        <v>238</v>
      </c>
      <c r="I92" s="217"/>
    </row>
    <row r="93" spans="1:12" x14ac:dyDescent="0.25">
      <c r="A93" t="s">
        <v>1291</v>
      </c>
      <c r="B93" t="s">
        <v>2567</v>
      </c>
      <c r="C93" s="2" t="s">
        <v>2580</v>
      </c>
      <c r="D93" s="3" t="s">
        <v>2004</v>
      </c>
      <c r="E93" t="s">
        <v>84</v>
      </c>
      <c r="F93" s="5">
        <v>125</v>
      </c>
      <c r="G93" s="5">
        <v>186</v>
      </c>
      <c r="H93" s="5">
        <v>232</v>
      </c>
      <c r="I93" s="503"/>
      <c r="L93" s="7"/>
    </row>
    <row r="94" spans="1:12" x14ac:dyDescent="0.25">
      <c r="A94" t="s">
        <v>467</v>
      </c>
      <c r="B94" t="s">
        <v>2567</v>
      </c>
      <c r="C94" s="2" t="s">
        <v>468</v>
      </c>
      <c r="D94" s="3" t="s">
        <v>2440</v>
      </c>
      <c r="E94" t="s">
        <v>84</v>
      </c>
      <c r="F94" s="2" t="str">
        <f t="shared" ref="F94:F99" si="15">LEFT(D94,FIND(",",D94)-1)</f>
        <v>126</v>
      </c>
      <c r="G94" s="2" t="str">
        <f t="shared" ref="G94:G99" si="16">MID(D94,FIND(",",D94)+1,FIND(",",D94,FIND(",",D94)+1)-FIND(",",D94)-1)</f>
        <v>192</v>
      </c>
      <c r="H94" s="2" t="str">
        <f t="shared" ref="H94:H99" si="17">RIGHT(D94,LEN(D94)-FIND(",",D94,FIND(",",D94)+1))</f>
        <v>238</v>
      </c>
      <c r="I94" s="539"/>
    </row>
    <row r="95" spans="1:12" x14ac:dyDescent="0.25">
      <c r="A95" t="s">
        <v>431</v>
      </c>
      <c r="B95" t="s">
        <v>2567</v>
      </c>
      <c r="C95" s="2" t="s">
        <v>496</v>
      </c>
      <c r="D95" s="3" t="s">
        <v>1638</v>
      </c>
      <c r="E95" t="s">
        <v>84</v>
      </c>
      <c r="F95" s="2" t="str">
        <f t="shared" si="15"/>
        <v>127</v>
      </c>
      <c r="G95" s="2" t="str">
        <f t="shared" si="16"/>
        <v xml:space="preserve"> 255</v>
      </c>
      <c r="H95" s="2" t="str">
        <f t="shared" si="17"/>
        <v xml:space="preserve"> 212</v>
      </c>
      <c r="I95" s="112"/>
    </row>
    <row r="96" spans="1:12" x14ac:dyDescent="0.25">
      <c r="A96" t="s">
        <v>550</v>
      </c>
      <c r="B96" t="s">
        <v>2567</v>
      </c>
      <c r="C96" s="2" t="s">
        <v>551</v>
      </c>
      <c r="D96" s="3" t="s">
        <v>1777</v>
      </c>
      <c r="E96" t="s">
        <v>84</v>
      </c>
      <c r="F96" s="2" t="str">
        <f t="shared" si="15"/>
        <v>127</v>
      </c>
      <c r="G96" s="2" t="str">
        <f t="shared" si="16"/>
        <v>0</v>
      </c>
      <c r="H96" s="2" t="str">
        <f t="shared" si="17"/>
        <v>255</v>
      </c>
      <c r="I96" s="473"/>
    </row>
    <row r="97" spans="1:12" x14ac:dyDescent="0.25">
      <c r="A97" t="s">
        <v>70</v>
      </c>
      <c r="B97" t="s">
        <v>2567</v>
      </c>
      <c r="C97" s="2" t="s">
        <v>496</v>
      </c>
      <c r="D97" s="3" t="s">
        <v>2292</v>
      </c>
      <c r="E97" t="s">
        <v>84</v>
      </c>
      <c r="F97" s="2" t="str">
        <f t="shared" si="15"/>
        <v>127</v>
      </c>
      <c r="G97" s="2" t="str">
        <f t="shared" si="16"/>
        <v>255</v>
      </c>
      <c r="H97" s="2" t="str">
        <f t="shared" si="17"/>
        <v>212</v>
      </c>
      <c r="I97" s="112"/>
    </row>
    <row r="98" spans="1:12" x14ac:dyDescent="0.25">
      <c r="A98" t="s">
        <v>495</v>
      </c>
      <c r="B98" t="s">
        <v>2567</v>
      </c>
      <c r="C98" s="2" t="s">
        <v>496</v>
      </c>
      <c r="D98" s="3" t="s">
        <v>2292</v>
      </c>
      <c r="E98" t="s">
        <v>84</v>
      </c>
      <c r="F98" s="2" t="str">
        <f t="shared" si="15"/>
        <v>127</v>
      </c>
      <c r="G98" s="2" t="str">
        <f t="shared" si="16"/>
        <v>255</v>
      </c>
      <c r="H98" s="2" t="str">
        <f t="shared" si="17"/>
        <v>212</v>
      </c>
      <c r="I98" s="112"/>
    </row>
    <row r="99" spans="1:12" x14ac:dyDescent="0.25">
      <c r="A99" t="s">
        <v>497</v>
      </c>
      <c r="B99" t="s">
        <v>2567</v>
      </c>
      <c r="C99" s="2" t="s">
        <v>496</v>
      </c>
      <c r="D99" s="3" t="s">
        <v>2292</v>
      </c>
      <c r="E99" t="s">
        <v>84</v>
      </c>
      <c r="F99" s="2" t="str">
        <f t="shared" si="15"/>
        <v>127</v>
      </c>
      <c r="G99" s="2" t="str">
        <f t="shared" si="16"/>
        <v>255</v>
      </c>
      <c r="H99" s="2" t="str">
        <f t="shared" si="17"/>
        <v>212</v>
      </c>
      <c r="I99" s="112"/>
    </row>
    <row r="100" spans="1:12" x14ac:dyDescent="0.25">
      <c r="A100" t="s">
        <v>431</v>
      </c>
      <c r="B100" t="s">
        <v>2567</v>
      </c>
      <c r="C100" s="2" t="s">
        <v>496</v>
      </c>
      <c r="D100" s="3" t="s">
        <v>2024</v>
      </c>
      <c r="E100" t="s">
        <v>84</v>
      </c>
      <c r="F100" s="5">
        <v>128</v>
      </c>
      <c r="G100" s="5">
        <v>255</v>
      </c>
      <c r="H100" s="5">
        <v>212</v>
      </c>
      <c r="I100" s="290"/>
      <c r="L100" s="7"/>
    </row>
    <row r="101" spans="1:12" x14ac:dyDescent="0.25">
      <c r="A101" t="s">
        <v>475</v>
      </c>
      <c r="B101" t="s">
        <v>2567</v>
      </c>
      <c r="C101" s="2" t="s">
        <v>476</v>
      </c>
      <c r="D101" s="3" t="s">
        <v>2443</v>
      </c>
      <c r="E101" t="s">
        <v>84</v>
      </c>
      <c r="F101" s="2" t="str">
        <f t="shared" ref="F101:F110" si="18">LEFT(D101,FIND(",",D101)-1)</f>
        <v>131</v>
      </c>
      <c r="G101" s="2" t="str">
        <f t="shared" ref="G101:G110" si="19">MID(D101,FIND(",",D101)+1,FIND(",",D101,FIND(",",D101)+1)-FIND(",",D101)-1)</f>
        <v>111</v>
      </c>
      <c r="H101" s="2" t="str">
        <f t="shared" ref="H101:H110" si="20">RIGHT(D101,LEN(D101)-FIND(",",D101,FIND(",",D101)+1))</f>
        <v>255</v>
      </c>
      <c r="I101" s="701"/>
    </row>
    <row r="102" spans="1:12" x14ac:dyDescent="0.25">
      <c r="A102" t="s">
        <v>510</v>
      </c>
      <c r="B102" t="s">
        <v>2567</v>
      </c>
      <c r="C102" s="2" t="s">
        <v>511</v>
      </c>
      <c r="D102" s="3" t="s">
        <v>2455</v>
      </c>
      <c r="E102" t="s">
        <v>84</v>
      </c>
      <c r="F102" s="2" t="str">
        <f t="shared" si="18"/>
        <v>131</v>
      </c>
      <c r="G102" s="2" t="str">
        <f t="shared" si="19"/>
        <v>139</v>
      </c>
      <c r="H102" s="2" t="str">
        <f t="shared" si="20"/>
        <v>139</v>
      </c>
      <c r="I102" s="703"/>
    </row>
    <row r="103" spans="1:12" x14ac:dyDescent="0.25">
      <c r="A103" t="s">
        <v>418</v>
      </c>
      <c r="B103" t="s">
        <v>2567</v>
      </c>
      <c r="C103" s="2" t="s">
        <v>419</v>
      </c>
      <c r="D103" s="3" t="s">
        <v>2426</v>
      </c>
      <c r="E103" t="s">
        <v>84</v>
      </c>
      <c r="F103" s="2" t="str">
        <f t="shared" si="18"/>
        <v>132</v>
      </c>
      <c r="G103" s="2" t="str">
        <f t="shared" si="19"/>
        <v>112</v>
      </c>
      <c r="H103" s="2" t="str">
        <f t="shared" si="20"/>
        <v>255</v>
      </c>
      <c r="I103" s="773"/>
    </row>
    <row r="104" spans="1:12" x14ac:dyDescent="0.25">
      <c r="A104" t="s">
        <v>463</v>
      </c>
      <c r="B104" t="s">
        <v>2567</v>
      </c>
      <c r="C104" s="2" t="s">
        <v>464</v>
      </c>
      <c r="D104" s="3" t="s">
        <v>1647</v>
      </c>
      <c r="E104" t="s">
        <v>84</v>
      </c>
      <c r="F104" s="2" t="str">
        <f t="shared" si="18"/>
        <v>135</v>
      </c>
      <c r="G104" s="2" t="str">
        <f t="shared" si="19"/>
        <v xml:space="preserve"> 206</v>
      </c>
      <c r="H104" s="2" t="str">
        <f t="shared" si="20"/>
        <v xml:space="preserve"> 235</v>
      </c>
      <c r="I104" s="113"/>
    </row>
    <row r="105" spans="1:12" x14ac:dyDescent="0.25">
      <c r="A105" t="s">
        <v>408</v>
      </c>
      <c r="B105" t="s">
        <v>2567</v>
      </c>
      <c r="C105" s="2" t="s">
        <v>409</v>
      </c>
      <c r="D105" s="3" t="s">
        <v>1648</v>
      </c>
      <c r="E105" t="s">
        <v>84</v>
      </c>
      <c r="F105" s="2" t="str">
        <f t="shared" si="18"/>
        <v>135</v>
      </c>
      <c r="G105" s="2" t="str">
        <f t="shared" si="19"/>
        <v xml:space="preserve"> 206</v>
      </c>
      <c r="H105" s="2" t="str">
        <f t="shared" si="20"/>
        <v xml:space="preserve"> 250</v>
      </c>
      <c r="I105" s="123"/>
    </row>
    <row r="106" spans="1:12" x14ac:dyDescent="0.25">
      <c r="A106" t="s">
        <v>78</v>
      </c>
      <c r="B106" t="s">
        <v>2567</v>
      </c>
      <c r="C106" s="2" t="s">
        <v>464</v>
      </c>
      <c r="D106" s="3" t="s">
        <v>2299</v>
      </c>
      <c r="E106" t="s">
        <v>84</v>
      </c>
      <c r="F106" s="2" t="str">
        <f t="shared" si="18"/>
        <v>135</v>
      </c>
      <c r="G106" s="2" t="str">
        <f t="shared" si="19"/>
        <v>206</v>
      </c>
      <c r="H106" s="2" t="str">
        <f t="shared" si="20"/>
        <v>235</v>
      </c>
      <c r="I106" s="113"/>
    </row>
    <row r="107" spans="1:12" x14ac:dyDescent="0.25">
      <c r="A107" t="s">
        <v>463</v>
      </c>
      <c r="B107" t="s">
        <v>2567</v>
      </c>
      <c r="C107" s="2" t="s">
        <v>464</v>
      </c>
      <c r="D107" s="3" t="s">
        <v>2299</v>
      </c>
      <c r="E107" t="s">
        <v>84</v>
      </c>
      <c r="F107" s="2" t="str">
        <f t="shared" si="18"/>
        <v>135</v>
      </c>
      <c r="G107" s="2" t="str">
        <f t="shared" si="19"/>
        <v>206</v>
      </c>
      <c r="H107" s="2" t="str">
        <f t="shared" si="20"/>
        <v>235</v>
      </c>
      <c r="I107" s="113"/>
    </row>
    <row r="108" spans="1:12" x14ac:dyDescent="0.25">
      <c r="A108" t="s">
        <v>79</v>
      </c>
      <c r="B108" t="s">
        <v>2567</v>
      </c>
      <c r="C108" s="2" t="s">
        <v>409</v>
      </c>
      <c r="D108" s="3" t="s">
        <v>2300</v>
      </c>
      <c r="E108" t="s">
        <v>84</v>
      </c>
      <c r="F108" s="2" t="str">
        <f t="shared" si="18"/>
        <v>135</v>
      </c>
      <c r="G108" s="2" t="str">
        <f t="shared" si="19"/>
        <v>206</v>
      </c>
      <c r="H108" s="2" t="str">
        <f t="shared" si="20"/>
        <v>250</v>
      </c>
      <c r="I108" s="123"/>
    </row>
    <row r="109" spans="1:12" x14ac:dyDescent="0.25">
      <c r="A109" t="s">
        <v>408</v>
      </c>
      <c r="B109" t="s">
        <v>2567</v>
      </c>
      <c r="C109" s="2" t="s">
        <v>409</v>
      </c>
      <c r="D109" s="3" t="s">
        <v>2300</v>
      </c>
      <c r="E109" t="s">
        <v>84</v>
      </c>
      <c r="F109" s="2" t="str">
        <f t="shared" si="18"/>
        <v>135</v>
      </c>
      <c r="G109" s="2" t="str">
        <f t="shared" si="19"/>
        <v>206</v>
      </c>
      <c r="H109" s="2" t="str">
        <f t="shared" si="20"/>
        <v>250</v>
      </c>
      <c r="I109" s="123"/>
    </row>
    <row r="110" spans="1:12" x14ac:dyDescent="0.25">
      <c r="A110" t="s">
        <v>465</v>
      </c>
      <c r="B110" t="s">
        <v>2567</v>
      </c>
      <c r="C110" s="2" t="s">
        <v>466</v>
      </c>
      <c r="D110" s="3" t="s">
        <v>2439</v>
      </c>
      <c r="E110" t="s">
        <v>84</v>
      </c>
      <c r="F110" s="2" t="str">
        <f t="shared" si="18"/>
        <v>135</v>
      </c>
      <c r="G110" s="2" t="str">
        <f t="shared" si="19"/>
        <v>206</v>
      </c>
      <c r="H110" s="2" t="str">
        <f t="shared" si="20"/>
        <v>255</v>
      </c>
      <c r="I110" s="243"/>
    </row>
    <row r="111" spans="1:12" x14ac:dyDescent="0.25">
      <c r="A111" t="s">
        <v>1319</v>
      </c>
      <c r="B111" t="s">
        <v>2567</v>
      </c>
      <c r="C111" s="2" t="s">
        <v>2581</v>
      </c>
      <c r="D111" s="3" t="s">
        <v>2033</v>
      </c>
      <c r="E111" t="s">
        <v>84</v>
      </c>
      <c r="F111" s="5">
        <v>138</v>
      </c>
      <c r="G111" s="5">
        <v>207</v>
      </c>
      <c r="H111" s="5">
        <v>240</v>
      </c>
      <c r="I111" s="614"/>
      <c r="L111" s="7"/>
    </row>
    <row r="112" spans="1:12" x14ac:dyDescent="0.25">
      <c r="A112" t="s">
        <v>86</v>
      </c>
      <c r="B112" t="s">
        <v>2567</v>
      </c>
      <c r="C112" s="2" t="s">
        <v>349</v>
      </c>
      <c r="D112" s="3" t="s">
        <v>1746</v>
      </c>
      <c r="E112" t="s">
        <v>84</v>
      </c>
      <c r="F112" s="2" t="str">
        <f>LEFT(D112,FIND(",",D112)-1)</f>
        <v>138</v>
      </c>
      <c r="G112" s="2" t="str">
        <f>MID(D112,FIND(",",D112)+1,FIND(",",D112,FIND(",",D112)+1)-FIND(",",D112)-1)</f>
        <v>43</v>
      </c>
      <c r="H112" s="2" t="str">
        <f>RIGHT(D112,LEN(D112)-FIND(",",D112,FIND(",",D112)+1))</f>
        <v>226</v>
      </c>
      <c r="I112" s="114"/>
    </row>
    <row r="113" spans="1:12" x14ac:dyDescent="0.25">
      <c r="A113" t="s">
        <v>348</v>
      </c>
      <c r="B113" t="s">
        <v>2567</v>
      </c>
      <c r="C113" s="2" t="s">
        <v>349</v>
      </c>
      <c r="D113" s="3" t="s">
        <v>1746</v>
      </c>
      <c r="E113" t="s">
        <v>84</v>
      </c>
      <c r="F113" s="2" t="str">
        <f>LEFT(D113,FIND(",",D113)-1)</f>
        <v>138</v>
      </c>
      <c r="G113" s="2" t="str">
        <f>MID(D113,FIND(",",D113)+1,FIND(",",D113,FIND(",",D113)+1)-FIND(",",D113)-1)</f>
        <v>43</v>
      </c>
      <c r="H113" s="2" t="str">
        <f>RIGHT(D113,LEN(D113)-FIND(",",D113,FIND(",",D113)+1))</f>
        <v>226</v>
      </c>
      <c r="I113" s="114"/>
    </row>
    <row r="114" spans="1:12" x14ac:dyDescent="0.25">
      <c r="A114" t="s">
        <v>1455</v>
      </c>
      <c r="B114" t="s">
        <v>2567</v>
      </c>
      <c r="C114" s="2" t="s">
        <v>2582</v>
      </c>
      <c r="D114" s="3" t="s">
        <v>2184</v>
      </c>
      <c r="E114" t="s">
        <v>84</v>
      </c>
      <c r="F114" s="5">
        <v>140</v>
      </c>
      <c r="G114" s="5">
        <v>191</v>
      </c>
      <c r="H114" s="5">
        <v>214</v>
      </c>
      <c r="I114" s="817"/>
      <c r="L114" s="7"/>
    </row>
    <row r="115" spans="1:12" x14ac:dyDescent="0.25">
      <c r="A115" t="s">
        <v>414</v>
      </c>
      <c r="B115" t="s">
        <v>2567</v>
      </c>
      <c r="C115" s="2" t="s">
        <v>415</v>
      </c>
      <c r="D115" s="3" t="s">
        <v>2424</v>
      </c>
      <c r="E115" t="s">
        <v>84</v>
      </c>
      <c r="F115" s="2" t="str">
        <f>LEFT(D115,FIND(",",D115)-1)</f>
        <v>141</v>
      </c>
      <c r="G115" s="2" t="str">
        <f>MID(D115,FIND(",",D115)+1,FIND(",",D115,FIND(",",D115)+1)-FIND(",",D115)-1)</f>
        <v>182</v>
      </c>
      <c r="H115" s="2" t="str">
        <f>RIGHT(D115,LEN(D115)-FIND(",",D115,FIND(",",D115)+1))</f>
        <v>205</v>
      </c>
      <c r="I115" s="644"/>
    </row>
    <row r="116" spans="1:12" x14ac:dyDescent="0.25">
      <c r="A116" t="s">
        <v>541</v>
      </c>
      <c r="B116" t="s">
        <v>2567</v>
      </c>
      <c r="C116" s="2" t="s">
        <v>542</v>
      </c>
      <c r="D116" s="3" t="s">
        <v>2458</v>
      </c>
      <c r="E116" t="s">
        <v>84</v>
      </c>
      <c r="F116" s="2" t="str">
        <f>LEFT(D116,FIND(",",D116)-1)</f>
        <v>141</v>
      </c>
      <c r="G116" s="2" t="str">
        <f>MID(D116,FIND(",",D116)+1,FIND(",",D116,FIND(",",D116)+1)-FIND(",",D116)-1)</f>
        <v>238</v>
      </c>
      <c r="H116" s="2" t="str">
        <f>RIGHT(D116,LEN(D116)-FIND(",",D116,FIND(",",D116)+1))</f>
        <v>238</v>
      </c>
      <c r="I116" s="247"/>
    </row>
    <row r="117" spans="1:12" x14ac:dyDescent="0.25">
      <c r="A117" t="s">
        <v>356</v>
      </c>
      <c r="B117" t="s">
        <v>2567</v>
      </c>
      <c r="C117" s="2" t="s">
        <v>357</v>
      </c>
      <c r="D117" s="3" t="s">
        <v>2409</v>
      </c>
      <c r="E117" t="s">
        <v>84</v>
      </c>
      <c r="F117" s="2" t="str">
        <f>LEFT(D117,FIND(",",D117)-1)</f>
        <v>142</v>
      </c>
      <c r="G117" s="2" t="str">
        <f>MID(D117,FIND(",",D117)+1,FIND(",",D117,FIND(",",D117)+1)-FIND(",",D117)-1)</f>
        <v>229</v>
      </c>
      <c r="H117" s="2" t="str">
        <f>RIGHT(D117,LEN(D117)-FIND(",",D117,FIND(",",D117)+1))</f>
        <v>238</v>
      </c>
      <c r="I117" s="147"/>
    </row>
    <row r="118" spans="1:12" x14ac:dyDescent="0.25">
      <c r="A118" t="s">
        <v>1495</v>
      </c>
      <c r="B118" t="s">
        <v>2567</v>
      </c>
      <c r="C118" s="2" t="s">
        <v>2583</v>
      </c>
      <c r="D118" s="3" t="s">
        <v>2218</v>
      </c>
      <c r="E118" t="s">
        <v>84</v>
      </c>
      <c r="F118" s="5">
        <v>150</v>
      </c>
      <c r="G118" s="5">
        <v>199</v>
      </c>
      <c r="H118" s="5">
        <v>163</v>
      </c>
      <c r="I118" s="763"/>
      <c r="L118" s="7"/>
    </row>
    <row r="119" spans="1:12" x14ac:dyDescent="0.25">
      <c r="A119" t="s">
        <v>447</v>
      </c>
      <c r="B119" t="s">
        <v>2567</v>
      </c>
      <c r="C119" s="2" t="s">
        <v>448</v>
      </c>
      <c r="D119" s="3" t="s">
        <v>2435</v>
      </c>
      <c r="E119" t="s">
        <v>84</v>
      </c>
      <c r="F119" s="2" t="str">
        <f t="shared" ref="F119:F124" si="21">LEFT(D119,FIND(",",D119)-1)</f>
        <v>150</v>
      </c>
      <c r="G119" s="2" t="str">
        <f t="shared" ref="G119:G124" si="22">MID(D119,FIND(",",D119)+1,FIND(",",D119,FIND(",",D119)+1)-FIND(",",D119)-1)</f>
        <v>205</v>
      </c>
      <c r="H119" s="2" t="str">
        <f t="shared" ref="H119:H124" si="23">RIGHT(D119,LEN(D119)-FIND(",",D119,FIND(",",D119)+1))</f>
        <v>205</v>
      </c>
      <c r="I119" s="538"/>
    </row>
    <row r="120" spans="1:12" x14ac:dyDescent="0.25">
      <c r="A120" t="s">
        <v>539</v>
      </c>
      <c r="B120" t="s">
        <v>2567</v>
      </c>
      <c r="C120" s="2" t="s">
        <v>540</v>
      </c>
      <c r="D120" s="3" t="s">
        <v>2457</v>
      </c>
      <c r="E120" t="s">
        <v>84</v>
      </c>
      <c r="F120" s="2" t="str">
        <f t="shared" si="21"/>
        <v>151</v>
      </c>
      <c r="G120" s="2" t="str">
        <f t="shared" si="22"/>
        <v>255</v>
      </c>
      <c r="H120" s="2" t="str">
        <f t="shared" si="23"/>
        <v>255</v>
      </c>
      <c r="I120" s="705"/>
    </row>
    <row r="121" spans="1:12" x14ac:dyDescent="0.25">
      <c r="A121" t="s">
        <v>354</v>
      </c>
      <c r="B121" t="s">
        <v>2567</v>
      </c>
      <c r="C121" s="2" t="s">
        <v>355</v>
      </c>
      <c r="D121" s="3" t="s">
        <v>2408</v>
      </c>
      <c r="E121" t="s">
        <v>84</v>
      </c>
      <c r="F121" s="2" t="str">
        <f t="shared" si="21"/>
        <v>152</v>
      </c>
      <c r="G121" s="2" t="str">
        <f t="shared" si="22"/>
        <v>245</v>
      </c>
      <c r="H121" s="2" t="str">
        <f t="shared" si="23"/>
        <v>255</v>
      </c>
      <c r="I121" s="389"/>
    </row>
    <row r="122" spans="1:12" x14ac:dyDescent="0.25">
      <c r="A122" t="s">
        <v>3250</v>
      </c>
      <c r="B122" t="s">
        <v>2567</v>
      </c>
      <c r="C122" s="2" t="s">
        <v>420</v>
      </c>
      <c r="D122" s="3" t="s">
        <v>2427</v>
      </c>
      <c r="E122" t="s">
        <v>84</v>
      </c>
      <c r="F122" s="2" t="str">
        <f t="shared" si="21"/>
        <v>153</v>
      </c>
      <c r="G122" s="2" t="str">
        <f t="shared" si="22"/>
        <v>204</v>
      </c>
      <c r="H122" s="2" t="str">
        <f t="shared" si="23"/>
        <v>255</v>
      </c>
      <c r="I122" s="320"/>
    </row>
    <row r="123" spans="1:12" x14ac:dyDescent="0.25">
      <c r="A123" t="s">
        <v>395</v>
      </c>
      <c r="B123" t="s">
        <v>2567</v>
      </c>
      <c r="C123" s="2" t="s">
        <v>396</v>
      </c>
      <c r="D123" s="3" t="s">
        <v>2417</v>
      </c>
      <c r="E123" t="s">
        <v>84</v>
      </c>
      <c r="F123" s="2" t="str">
        <f t="shared" si="21"/>
        <v>154</v>
      </c>
      <c r="G123" s="2" t="str">
        <f t="shared" si="22"/>
        <v>192</v>
      </c>
      <c r="H123" s="2" t="str">
        <f t="shared" si="23"/>
        <v>205</v>
      </c>
      <c r="I123" s="390"/>
    </row>
    <row r="124" spans="1:12" x14ac:dyDescent="0.25">
      <c r="A124" t="s">
        <v>386</v>
      </c>
      <c r="B124" t="s">
        <v>2567</v>
      </c>
      <c r="C124" s="2" t="s">
        <v>387</v>
      </c>
      <c r="D124" s="3" t="s">
        <v>1754</v>
      </c>
      <c r="E124" t="s">
        <v>84</v>
      </c>
      <c r="F124" s="2" t="str">
        <f t="shared" si="21"/>
        <v>16</v>
      </c>
      <c r="G124" s="2" t="str">
        <f t="shared" si="22"/>
        <v>78</v>
      </c>
      <c r="H124" s="2" t="str">
        <f t="shared" si="23"/>
        <v>139</v>
      </c>
      <c r="I124" s="149"/>
    </row>
    <row r="125" spans="1:12" x14ac:dyDescent="0.25">
      <c r="A125" t="s">
        <v>1320</v>
      </c>
      <c r="B125" t="s">
        <v>2567</v>
      </c>
      <c r="C125" s="2" t="s">
        <v>2584</v>
      </c>
      <c r="D125" s="3" t="s">
        <v>2034</v>
      </c>
      <c r="E125" t="s">
        <v>84</v>
      </c>
      <c r="F125" s="5">
        <v>161</v>
      </c>
      <c r="G125" s="5">
        <v>201</v>
      </c>
      <c r="H125" s="5">
        <v>242</v>
      </c>
      <c r="I125" s="676"/>
      <c r="L125" s="7"/>
    </row>
    <row r="126" spans="1:12" x14ac:dyDescent="0.25">
      <c r="A126" t="s">
        <v>427</v>
      </c>
      <c r="B126" t="s">
        <v>2567</v>
      </c>
      <c r="C126" s="2" t="s">
        <v>428</v>
      </c>
      <c r="D126" s="3" t="s">
        <v>2430</v>
      </c>
      <c r="E126" t="s">
        <v>84</v>
      </c>
      <c r="F126" s="2" t="str">
        <f>LEFT(D126,FIND(",",D126)-1)</f>
        <v>162</v>
      </c>
      <c r="G126" s="2" t="str">
        <f>MID(D126,FIND(",",D126)+1,FIND(",",D126,FIND(",",D126)+1)-FIND(",",D126)-1)</f>
        <v>181</v>
      </c>
      <c r="H126" s="2" t="str">
        <f>RIGHT(D126,LEN(D126)-FIND(",",D126,FIND(",",D126)+1))</f>
        <v>205</v>
      </c>
      <c r="I126" s="57"/>
    </row>
    <row r="127" spans="1:12" x14ac:dyDescent="0.25">
      <c r="A127" t="s">
        <v>1343</v>
      </c>
      <c r="B127" t="s">
        <v>2567</v>
      </c>
      <c r="C127" s="2" t="s">
        <v>2585</v>
      </c>
      <c r="D127" s="3" t="s">
        <v>2064</v>
      </c>
      <c r="E127" t="s">
        <v>84</v>
      </c>
      <c r="F127" s="5">
        <v>163</v>
      </c>
      <c r="G127" s="5">
        <v>163</v>
      </c>
      <c r="H127" s="5">
        <v>209</v>
      </c>
      <c r="I127" s="437"/>
      <c r="L127" s="7"/>
    </row>
    <row r="128" spans="1:12" x14ac:dyDescent="0.25">
      <c r="A128" t="s">
        <v>1373</v>
      </c>
      <c r="B128" t="s">
        <v>2567</v>
      </c>
      <c r="C128" s="2" t="s">
        <v>2586</v>
      </c>
      <c r="D128" s="3" t="s">
        <v>2097</v>
      </c>
      <c r="E128" t="s">
        <v>84</v>
      </c>
      <c r="F128" s="5">
        <v>163</v>
      </c>
      <c r="G128" s="5">
        <v>194</v>
      </c>
      <c r="H128" s="5">
        <v>173</v>
      </c>
      <c r="I128" s="742"/>
      <c r="L128" s="7"/>
    </row>
    <row r="129" spans="1:12" x14ac:dyDescent="0.25">
      <c r="A129" t="s">
        <v>412</v>
      </c>
      <c r="B129" t="s">
        <v>2567</v>
      </c>
      <c r="C129" s="2" t="s">
        <v>413</v>
      </c>
      <c r="D129" s="3" t="s">
        <v>2423</v>
      </c>
      <c r="E129" t="s">
        <v>84</v>
      </c>
      <c r="F129" s="2" t="str">
        <f>LEFT(D129,FIND(",",D129)-1)</f>
        <v>164</v>
      </c>
      <c r="G129" s="2" t="str">
        <f>MID(D129,FIND(",",D129)+1,FIND(",",D129,FIND(",",D129)+1)-FIND(",",D129)-1)</f>
        <v>211</v>
      </c>
      <c r="H129" s="2" t="str">
        <f>RIGHT(D129,LEN(D129)-FIND(",",D129,FIND(",",D129)+1))</f>
        <v>238</v>
      </c>
      <c r="I129" s="56"/>
    </row>
    <row r="130" spans="1:12" x14ac:dyDescent="0.25">
      <c r="A130" t="s">
        <v>3251</v>
      </c>
      <c r="B130" t="s">
        <v>2567</v>
      </c>
      <c r="C130" s="2" t="s">
        <v>388</v>
      </c>
      <c r="D130" s="3" t="s">
        <v>2414</v>
      </c>
      <c r="E130" t="s">
        <v>84</v>
      </c>
      <c r="F130" s="2" t="str">
        <f>LEFT(D130,FIND(",",D130)-1)</f>
        <v>170</v>
      </c>
      <c r="G130" s="2" t="str">
        <f>MID(D130,FIND(",",D130)+1,FIND(",",D130,FIND(",",D130)+1)-FIND(",",D130)-1)</f>
        <v>187</v>
      </c>
      <c r="H130" s="2" t="str">
        <f>RIGHT(D130,LEN(D130)-FIND(",",D130,FIND(",",D130)+1))</f>
        <v>204</v>
      </c>
      <c r="I130" s="178"/>
    </row>
    <row r="131" spans="1:12" x14ac:dyDescent="0.25">
      <c r="A131" t="s">
        <v>1341</v>
      </c>
      <c r="B131" t="s">
        <v>2567</v>
      </c>
      <c r="C131" s="2" t="s">
        <v>2587</v>
      </c>
      <c r="D131" s="3" t="s">
        <v>2057</v>
      </c>
      <c r="E131" t="s">
        <v>84</v>
      </c>
      <c r="F131" s="5">
        <v>171</v>
      </c>
      <c r="G131" s="5">
        <v>230</v>
      </c>
      <c r="H131" s="5">
        <v>237</v>
      </c>
      <c r="I131" s="509"/>
      <c r="L131" s="7"/>
    </row>
    <row r="132" spans="1:12" x14ac:dyDescent="0.25">
      <c r="A132" t="s">
        <v>389</v>
      </c>
      <c r="B132" t="s">
        <v>2567</v>
      </c>
      <c r="C132" s="2" t="s">
        <v>390</v>
      </c>
      <c r="D132" s="3" t="s">
        <v>1646</v>
      </c>
      <c r="E132" t="s">
        <v>84</v>
      </c>
      <c r="F132" s="2" t="str">
        <f t="shared" ref="F132:F145" si="24">LEFT(D132,FIND(",",D132)-1)</f>
        <v>173</v>
      </c>
      <c r="G132" s="2" t="str">
        <f t="shared" ref="G132:G145" si="25">MID(D132,FIND(",",D132)+1,FIND(",",D132,FIND(",",D132)+1)-FIND(",",D132)-1)</f>
        <v xml:space="preserve"> 216</v>
      </c>
      <c r="H132" s="2" t="str">
        <f t="shared" ref="H132:H145" si="26">RIGHT(D132,LEN(D132)-FIND(",",D132,FIND(",",D132)+1))</f>
        <v xml:space="preserve"> 230</v>
      </c>
      <c r="I132" s="27"/>
    </row>
    <row r="133" spans="1:12" x14ac:dyDescent="0.25">
      <c r="A133" t="s">
        <v>77</v>
      </c>
      <c r="B133" t="s">
        <v>2567</v>
      </c>
      <c r="C133" s="2" t="s">
        <v>390</v>
      </c>
      <c r="D133" s="3" t="s">
        <v>2298</v>
      </c>
      <c r="E133" t="s">
        <v>84</v>
      </c>
      <c r="F133" s="2" t="str">
        <f t="shared" si="24"/>
        <v>173</v>
      </c>
      <c r="G133" s="2" t="str">
        <f t="shared" si="25"/>
        <v>216</v>
      </c>
      <c r="H133" s="2" t="str">
        <f t="shared" si="26"/>
        <v>230</v>
      </c>
      <c r="I133" s="27"/>
    </row>
    <row r="134" spans="1:12" x14ac:dyDescent="0.25">
      <c r="A134" t="s">
        <v>389</v>
      </c>
      <c r="B134" t="s">
        <v>2567</v>
      </c>
      <c r="C134" s="2" t="s">
        <v>390</v>
      </c>
      <c r="D134" s="3" t="s">
        <v>2298</v>
      </c>
      <c r="E134" t="s">
        <v>84</v>
      </c>
      <c r="F134" s="2" t="str">
        <f t="shared" si="24"/>
        <v>173</v>
      </c>
      <c r="G134" s="2" t="str">
        <f t="shared" si="25"/>
        <v>216</v>
      </c>
      <c r="H134" s="2" t="str">
        <f t="shared" si="26"/>
        <v>230</v>
      </c>
      <c r="I134" s="27"/>
    </row>
    <row r="135" spans="1:12" x14ac:dyDescent="0.25">
      <c r="A135" t="s">
        <v>445</v>
      </c>
      <c r="B135" t="s">
        <v>2567</v>
      </c>
      <c r="C135" s="2" t="s">
        <v>446</v>
      </c>
      <c r="D135" s="3" t="s">
        <v>2434</v>
      </c>
      <c r="E135" t="s">
        <v>84</v>
      </c>
      <c r="F135" s="2" t="str">
        <f t="shared" si="24"/>
        <v>174</v>
      </c>
      <c r="G135" s="2" t="str">
        <f t="shared" si="25"/>
        <v>238</v>
      </c>
      <c r="H135" s="2" t="str">
        <f t="shared" si="26"/>
        <v>238</v>
      </c>
      <c r="I135" s="469"/>
    </row>
    <row r="136" spans="1:12" x14ac:dyDescent="0.25">
      <c r="A136" t="s">
        <v>441</v>
      </c>
      <c r="B136" t="s">
        <v>2567</v>
      </c>
      <c r="C136" s="2" t="s">
        <v>442</v>
      </c>
      <c r="D136" s="3" t="s">
        <v>1637</v>
      </c>
      <c r="E136" t="s">
        <v>84</v>
      </c>
      <c r="F136" s="2" t="str">
        <f t="shared" si="24"/>
        <v>175</v>
      </c>
      <c r="G136" s="2" t="str">
        <f t="shared" si="25"/>
        <v xml:space="preserve"> 238</v>
      </c>
      <c r="H136" s="2" t="str">
        <f t="shared" si="26"/>
        <v xml:space="preserve"> 238</v>
      </c>
      <c r="I136" s="26"/>
    </row>
    <row r="137" spans="1:12" x14ac:dyDescent="0.25">
      <c r="A137" t="s">
        <v>69</v>
      </c>
      <c r="B137" t="s">
        <v>2567</v>
      </c>
      <c r="C137" s="2" t="s">
        <v>442</v>
      </c>
      <c r="D137" s="3" t="s">
        <v>2291</v>
      </c>
      <c r="E137" t="s">
        <v>84</v>
      </c>
      <c r="F137" s="2" t="str">
        <f t="shared" si="24"/>
        <v>175</v>
      </c>
      <c r="G137" s="2" t="str">
        <f t="shared" si="25"/>
        <v>238</v>
      </c>
      <c r="H137" s="2" t="str">
        <f t="shared" si="26"/>
        <v>238</v>
      </c>
      <c r="I137" s="26"/>
    </row>
    <row r="138" spans="1:12" x14ac:dyDescent="0.25">
      <c r="A138" t="s">
        <v>441</v>
      </c>
      <c r="B138" t="s">
        <v>2567</v>
      </c>
      <c r="C138" s="2" t="s">
        <v>442</v>
      </c>
      <c r="D138" s="3" t="s">
        <v>2291</v>
      </c>
      <c r="E138" t="s">
        <v>84</v>
      </c>
      <c r="F138" s="2" t="str">
        <f t="shared" si="24"/>
        <v>175</v>
      </c>
      <c r="G138" s="2" t="str">
        <f t="shared" si="25"/>
        <v>238</v>
      </c>
      <c r="H138" s="2" t="str">
        <f t="shared" si="26"/>
        <v>238</v>
      </c>
      <c r="I138" s="26"/>
    </row>
    <row r="139" spans="1:12" x14ac:dyDescent="0.25">
      <c r="A139" t="s">
        <v>421</v>
      </c>
      <c r="B139" t="s">
        <v>2567</v>
      </c>
      <c r="C139" s="2" t="s">
        <v>422</v>
      </c>
      <c r="D139" s="3" t="s">
        <v>1644</v>
      </c>
      <c r="E139" t="s">
        <v>84</v>
      </c>
      <c r="F139" s="2" t="str">
        <f t="shared" si="24"/>
        <v>176</v>
      </c>
      <c r="G139" s="2" t="str">
        <f t="shared" si="25"/>
        <v xml:space="preserve"> 196</v>
      </c>
      <c r="H139" s="2" t="str">
        <f t="shared" si="26"/>
        <v xml:space="preserve"> 222</v>
      </c>
      <c r="I139" s="190"/>
    </row>
    <row r="140" spans="1:12" x14ac:dyDescent="0.25">
      <c r="A140" t="s">
        <v>451</v>
      </c>
      <c r="B140" t="s">
        <v>2567</v>
      </c>
      <c r="C140" s="2" t="s">
        <v>452</v>
      </c>
      <c r="D140" s="3" t="s">
        <v>1645</v>
      </c>
      <c r="E140" t="s">
        <v>84</v>
      </c>
      <c r="F140" s="2" t="str">
        <f t="shared" si="24"/>
        <v>176</v>
      </c>
      <c r="G140" s="2" t="str">
        <f t="shared" si="25"/>
        <v xml:space="preserve"> 224</v>
      </c>
      <c r="H140" s="2" t="str">
        <f t="shared" si="26"/>
        <v xml:space="preserve"> 230</v>
      </c>
      <c r="I140" s="122"/>
    </row>
    <row r="141" spans="1:12" x14ac:dyDescent="0.25">
      <c r="A141" t="s">
        <v>421</v>
      </c>
      <c r="B141" t="s">
        <v>2567</v>
      </c>
      <c r="C141" s="2" t="s">
        <v>422</v>
      </c>
      <c r="D141" s="3" t="s">
        <v>2328</v>
      </c>
      <c r="E141" t="s">
        <v>84</v>
      </c>
      <c r="F141" s="2" t="str">
        <f t="shared" si="24"/>
        <v>176</v>
      </c>
      <c r="G141" s="2" t="str">
        <f t="shared" si="25"/>
        <v>196</v>
      </c>
      <c r="H141" s="2" t="str">
        <f t="shared" si="26"/>
        <v>222</v>
      </c>
      <c r="I141" s="190"/>
    </row>
    <row r="142" spans="1:12" x14ac:dyDescent="0.25">
      <c r="A142" t="s">
        <v>71</v>
      </c>
      <c r="B142" t="s">
        <v>2567</v>
      </c>
      <c r="C142" s="2" t="s">
        <v>452</v>
      </c>
      <c r="D142" s="3" t="s">
        <v>2293</v>
      </c>
      <c r="E142" t="s">
        <v>84</v>
      </c>
      <c r="F142" s="2" t="str">
        <f t="shared" si="24"/>
        <v>176</v>
      </c>
      <c r="G142" s="2" t="str">
        <f t="shared" si="25"/>
        <v>224</v>
      </c>
      <c r="H142" s="2" t="str">
        <f t="shared" si="26"/>
        <v>230</v>
      </c>
      <c r="I142" s="122"/>
    </row>
    <row r="143" spans="1:12" x14ac:dyDescent="0.25">
      <c r="A143" t="s">
        <v>451</v>
      </c>
      <c r="B143" t="s">
        <v>2567</v>
      </c>
      <c r="C143" s="2" t="s">
        <v>452</v>
      </c>
      <c r="D143" s="3" t="s">
        <v>2293</v>
      </c>
      <c r="E143" t="s">
        <v>84</v>
      </c>
      <c r="F143" s="2" t="str">
        <f t="shared" si="24"/>
        <v>176</v>
      </c>
      <c r="G143" s="2" t="str">
        <f t="shared" si="25"/>
        <v>224</v>
      </c>
      <c r="H143" s="2" t="str">
        <f t="shared" si="26"/>
        <v>230</v>
      </c>
      <c r="I143" s="122"/>
    </row>
    <row r="144" spans="1:12" x14ac:dyDescent="0.25">
      <c r="A144" t="s">
        <v>410</v>
      </c>
      <c r="B144" t="s">
        <v>2567</v>
      </c>
      <c r="C144" s="2" t="s">
        <v>411</v>
      </c>
      <c r="D144" s="3" t="s">
        <v>2422</v>
      </c>
      <c r="E144" t="s">
        <v>84</v>
      </c>
      <c r="F144" s="2" t="str">
        <f t="shared" si="24"/>
        <v>176</v>
      </c>
      <c r="G144" s="2" t="str">
        <f t="shared" si="25"/>
        <v>226</v>
      </c>
      <c r="H144" s="2" t="str">
        <f t="shared" si="26"/>
        <v>255</v>
      </c>
      <c r="I144" s="583"/>
    </row>
    <row r="145" spans="1:12" x14ac:dyDescent="0.25">
      <c r="A145" t="s">
        <v>393</v>
      </c>
      <c r="B145" t="s">
        <v>2567</v>
      </c>
      <c r="C145" s="2" t="s">
        <v>394</v>
      </c>
      <c r="D145" s="3" t="s">
        <v>2416</v>
      </c>
      <c r="E145" t="s">
        <v>84</v>
      </c>
      <c r="F145" s="2" t="str">
        <f t="shared" si="24"/>
        <v>178</v>
      </c>
      <c r="G145" s="2" t="str">
        <f t="shared" si="25"/>
        <v>223</v>
      </c>
      <c r="H145" s="2" t="str">
        <f t="shared" si="26"/>
        <v>238</v>
      </c>
      <c r="I145" s="319"/>
    </row>
    <row r="146" spans="1:12" x14ac:dyDescent="0.25">
      <c r="A146" t="s">
        <v>1390</v>
      </c>
      <c r="B146" t="s">
        <v>2567</v>
      </c>
      <c r="C146" s="2" t="s">
        <v>2588</v>
      </c>
      <c r="D146" s="3" t="s">
        <v>2114</v>
      </c>
      <c r="E146" t="s">
        <v>84</v>
      </c>
      <c r="F146" s="5">
        <v>179</v>
      </c>
      <c r="G146" s="5">
        <v>255</v>
      </c>
      <c r="H146" s="5">
        <v>255</v>
      </c>
      <c r="I146" s="744"/>
      <c r="L146" s="7"/>
    </row>
    <row r="147" spans="1:12" x14ac:dyDescent="0.25">
      <c r="A147" t="s">
        <v>1345</v>
      </c>
      <c r="B147" t="s">
        <v>2567</v>
      </c>
      <c r="C147" s="2">
        <v>126180</v>
      </c>
      <c r="D147" s="3" t="s">
        <v>2067</v>
      </c>
      <c r="E147" t="s">
        <v>84</v>
      </c>
      <c r="F147" s="5">
        <v>18</v>
      </c>
      <c r="G147" s="5">
        <v>97</v>
      </c>
      <c r="H147" s="5">
        <v>128</v>
      </c>
      <c r="I147" s="617"/>
      <c r="L147" s="7"/>
    </row>
    <row r="148" spans="1:12" x14ac:dyDescent="0.25">
      <c r="A148" t="s">
        <v>404</v>
      </c>
      <c r="B148" t="s">
        <v>2567</v>
      </c>
      <c r="C148" s="2" t="s">
        <v>405</v>
      </c>
      <c r="D148" s="3" t="s">
        <v>2420</v>
      </c>
      <c r="E148" t="s">
        <v>84</v>
      </c>
      <c r="F148" s="2" t="str">
        <f>LEFT(D148,FIND(",",D148)-1)</f>
        <v>180</v>
      </c>
      <c r="G148" s="2" t="str">
        <f>MID(D148,FIND(",",D148)+1,FIND(",",D148,FIND(",",D148)+1)-FIND(",",D148)-1)</f>
        <v>205</v>
      </c>
      <c r="H148" s="2" t="str">
        <f>RIGHT(D148,LEN(D148)-FIND(",",D148,FIND(",",D148)+1))</f>
        <v>205</v>
      </c>
      <c r="I148" s="209"/>
    </row>
    <row r="149" spans="1:12" x14ac:dyDescent="0.25">
      <c r="A149" t="s">
        <v>1413</v>
      </c>
      <c r="B149" t="s">
        <v>2567</v>
      </c>
      <c r="C149" s="2" t="s">
        <v>2589</v>
      </c>
      <c r="D149" s="3" t="s">
        <v>2141</v>
      </c>
      <c r="E149" t="s">
        <v>84</v>
      </c>
      <c r="F149" s="5">
        <v>186</v>
      </c>
      <c r="G149" s="5">
        <v>217</v>
      </c>
      <c r="H149" s="5">
        <v>235</v>
      </c>
      <c r="I149" s="304"/>
      <c r="L149" s="7"/>
    </row>
    <row r="150" spans="1:12" x14ac:dyDescent="0.25">
      <c r="A150" t="s">
        <v>443</v>
      </c>
      <c r="B150" t="s">
        <v>2567</v>
      </c>
      <c r="C150" s="2" t="s">
        <v>444</v>
      </c>
      <c r="D150" s="3" t="s">
        <v>2433</v>
      </c>
      <c r="E150" t="s">
        <v>84</v>
      </c>
      <c r="F150" s="2" t="str">
        <f>LEFT(D150,FIND(",",D150)-1)</f>
        <v>187</v>
      </c>
      <c r="G150" s="2" t="str">
        <f>MID(D150,FIND(",",D150)+1,FIND(",",D150,FIND(",",D150)+1)-FIND(",",D150)-1)</f>
        <v>255</v>
      </c>
      <c r="H150" s="2" t="str">
        <f>RIGHT(D150,LEN(D150)-FIND(",",D150,FIND(",",D150)+1))</f>
        <v>255</v>
      </c>
      <c r="I150" s="392"/>
    </row>
    <row r="151" spans="1:12" x14ac:dyDescent="0.25">
      <c r="A151" t="s">
        <v>425</v>
      </c>
      <c r="B151" t="s">
        <v>2567</v>
      </c>
      <c r="C151" s="2" t="s">
        <v>426</v>
      </c>
      <c r="D151" s="3" t="s">
        <v>2429</v>
      </c>
      <c r="E151" t="s">
        <v>84</v>
      </c>
      <c r="F151" s="2" t="str">
        <f>LEFT(D151,FIND(",",D151)-1)</f>
        <v>188</v>
      </c>
      <c r="G151" s="2" t="str">
        <f>MID(D151,FIND(",",D151)+1,FIND(",",D151,FIND(",",D151)+1)-FIND(",",D151)-1)</f>
        <v>210</v>
      </c>
      <c r="H151" s="2" t="str">
        <f>RIGHT(D151,LEN(D151)-FIND(",",D151,FIND(",",D151)+1))</f>
        <v>238</v>
      </c>
      <c r="I151" s="468"/>
    </row>
    <row r="152" spans="1:12" x14ac:dyDescent="0.25">
      <c r="A152" t="s">
        <v>1326</v>
      </c>
      <c r="B152" t="s">
        <v>2567</v>
      </c>
      <c r="C152" s="2" t="s">
        <v>2590</v>
      </c>
      <c r="D152" s="3" t="s">
        <v>2041</v>
      </c>
      <c r="E152" t="s">
        <v>84</v>
      </c>
      <c r="F152" s="5">
        <v>189</v>
      </c>
      <c r="G152" s="5">
        <v>212</v>
      </c>
      <c r="H152" s="5">
        <v>230</v>
      </c>
      <c r="I152" s="571"/>
      <c r="L152" s="7"/>
    </row>
    <row r="153" spans="1:12" x14ac:dyDescent="0.25">
      <c r="A153" t="s">
        <v>391</v>
      </c>
      <c r="B153" t="s">
        <v>2567</v>
      </c>
      <c r="C153" s="2" t="s">
        <v>392</v>
      </c>
      <c r="D153" s="3" t="s">
        <v>2415</v>
      </c>
      <c r="E153" t="s">
        <v>84</v>
      </c>
      <c r="F153" s="2" t="str">
        <f>LEFT(D153,FIND(",",D153)-1)</f>
        <v>191</v>
      </c>
      <c r="G153" s="2" t="str">
        <f>MID(D153,FIND(",",D153)+1,FIND(",",D153,FIND(",",D153)+1)-FIND(",",D153)-1)</f>
        <v>239</v>
      </c>
      <c r="H153" s="2" t="str">
        <f>RIGHT(D153,LEN(D153)-FIND(",",D153,FIND(",",D153)+1))</f>
        <v>255</v>
      </c>
      <c r="I153" s="240"/>
    </row>
    <row r="154" spans="1:12" x14ac:dyDescent="0.25">
      <c r="A154" t="s">
        <v>508</v>
      </c>
      <c r="B154" t="s">
        <v>2567</v>
      </c>
      <c r="C154" s="2" t="s">
        <v>509</v>
      </c>
      <c r="D154" s="3" t="s">
        <v>2454</v>
      </c>
      <c r="E154" t="s">
        <v>84</v>
      </c>
      <c r="F154" s="2" t="str">
        <f>LEFT(D154,FIND(",",D154)-1)</f>
        <v>193</v>
      </c>
      <c r="G154" s="2" t="str">
        <f>MID(D154,FIND(",",D154)+1,FIND(",",D154,FIND(",",D154)+1)-FIND(",",D154)-1)</f>
        <v>205</v>
      </c>
      <c r="H154" s="2" t="str">
        <f>RIGHT(D154,LEN(D154)-FIND(",",D154,FIND(",",D154)+1))</f>
        <v>205</v>
      </c>
      <c r="I154" s="646"/>
    </row>
    <row r="155" spans="1:12" x14ac:dyDescent="0.25">
      <c r="A155" t="s">
        <v>1471</v>
      </c>
      <c r="B155" t="s">
        <v>2567</v>
      </c>
      <c r="C155" s="2" t="s">
        <v>2591</v>
      </c>
      <c r="D155" s="3" t="s">
        <v>2198</v>
      </c>
      <c r="E155" t="s">
        <v>84</v>
      </c>
      <c r="F155" s="5">
        <v>20</v>
      </c>
      <c r="G155" s="5">
        <v>97</v>
      </c>
      <c r="H155" s="5">
        <v>189</v>
      </c>
      <c r="I155" s="818"/>
      <c r="L155" s="7"/>
    </row>
    <row r="156" spans="1:12" x14ac:dyDescent="0.25">
      <c r="A156" t="s">
        <v>423</v>
      </c>
      <c r="B156" t="s">
        <v>2567</v>
      </c>
      <c r="C156" s="2" t="s">
        <v>424</v>
      </c>
      <c r="D156" s="3" t="s">
        <v>2428</v>
      </c>
      <c r="E156" t="s">
        <v>84</v>
      </c>
      <c r="F156" s="2" t="str">
        <f t="shared" ref="F156:F163" si="27">LEFT(D156,FIND(",",D156)-1)</f>
        <v>202</v>
      </c>
      <c r="G156" s="2" t="str">
        <f t="shared" ref="G156:G163" si="28">MID(D156,FIND(",",D156)+1,FIND(",",D156,FIND(",",D156)+1)-FIND(",",D156)-1)</f>
        <v>225</v>
      </c>
      <c r="H156" s="2" t="str">
        <f t="shared" ref="H156:H163" si="29">RIGHT(D156,LEN(D156)-FIND(",",D156,FIND(",",D156)+1))</f>
        <v>255</v>
      </c>
      <c r="I156" s="391"/>
    </row>
    <row r="157" spans="1:12" x14ac:dyDescent="0.25">
      <c r="A157" t="s">
        <v>402</v>
      </c>
      <c r="B157" t="s">
        <v>2567</v>
      </c>
      <c r="C157" s="2" t="s">
        <v>403</v>
      </c>
      <c r="D157" s="3" t="s">
        <v>2419</v>
      </c>
      <c r="E157" t="s">
        <v>84</v>
      </c>
      <c r="F157" s="2" t="str">
        <f t="shared" si="27"/>
        <v>209</v>
      </c>
      <c r="G157" s="2" t="str">
        <f t="shared" si="28"/>
        <v>238</v>
      </c>
      <c r="H157" s="2" t="str">
        <f t="shared" si="29"/>
        <v>238</v>
      </c>
      <c r="I157" s="179"/>
    </row>
    <row r="158" spans="1:12" x14ac:dyDescent="0.25">
      <c r="A158" t="s">
        <v>399</v>
      </c>
      <c r="B158" t="s">
        <v>2567</v>
      </c>
      <c r="C158" s="2" t="s">
        <v>400</v>
      </c>
      <c r="D158" s="3" t="s">
        <v>1636</v>
      </c>
      <c r="E158" t="s">
        <v>84</v>
      </c>
      <c r="F158" s="2" t="str">
        <f t="shared" si="27"/>
        <v>224</v>
      </c>
      <c r="G158" s="2" t="str">
        <f t="shared" si="28"/>
        <v xml:space="preserve"> 255</v>
      </c>
      <c r="H158" s="2" t="str">
        <f t="shared" si="29"/>
        <v xml:space="preserve"> 255</v>
      </c>
      <c r="I158" s="150"/>
    </row>
    <row r="159" spans="1:12" x14ac:dyDescent="0.25">
      <c r="A159" t="s">
        <v>506</v>
      </c>
      <c r="B159" t="s">
        <v>2567</v>
      </c>
      <c r="C159" s="2" t="s">
        <v>507</v>
      </c>
      <c r="D159" s="3" t="s">
        <v>2453</v>
      </c>
      <c r="E159" t="s">
        <v>84</v>
      </c>
      <c r="F159" s="2" t="str">
        <f t="shared" si="27"/>
        <v>224</v>
      </c>
      <c r="G159" s="2" t="str">
        <f t="shared" si="28"/>
        <v>238</v>
      </c>
      <c r="H159" s="2" t="str">
        <f t="shared" si="29"/>
        <v>238</v>
      </c>
      <c r="I159" s="246"/>
    </row>
    <row r="160" spans="1:12" x14ac:dyDescent="0.25">
      <c r="A160" t="s">
        <v>65</v>
      </c>
      <c r="B160" t="s">
        <v>2567</v>
      </c>
      <c r="C160" s="2" t="s">
        <v>400</v>
      </c>
      <c r="D160" s="3" t="s">
        <v>2288</v>
      </c>
      <c r="E160" t="s">
        <v>84</v>
      </c>
      <c r="F160" s="2" t="str">
        <f t="shared" si="27"/>
        <v>224</v>
      </c>
      <c r="G160" s="2" t="str">
        <f t="shared" si="28"/>
        <v>255</v>
      </c>
      <c r="H160" s="2" t="str">
        <f t="shared" si="29"/>
        <v>255</v>
      </c>
      <c r="I160" s="150"/>
    </row>
    <row r="161" spans="1:12" x14ac:dyDescent="0.25">
      <c r="A161" t="s">
        <v>399</v>
      </c>
      <c r="B161" t="s">
        <v>2567</v>
      </c>
      <c r="C161" s="2" t="s">
        <v>400</v>
      </c>
      <c r="D161" s="3" t="s">
        <v>2288</v>
      </c>
      <c r="E161" t="s">
        <v>84</v>
      </c>
      <c r="F161" s="2" t="str">
        <f t="shared" si="27"/>
        <v>224</v>
      </c>
      <c r="G161" s="2" t="str">
        <f t="shared" si="28"/>
        <v>255</v>
      </c>
      <c r="H161" s="2" t="str">
        <f t="shared" si="29"/>
        <v>255</v>
      </c>
      <c r="I161" s="150"/>
    </row>
    <row r="162" spans="1:12" x14ac:dyDescent="0.25">
      <c r="A162" t="s">
        <v>401</v>
      </c>
      <c r="B162" t="s">
        <v>2567</v>
      </c>
      <c r="C162" s="2" t="s">
        <v>400</v>
      </c>
      <c r="D162" s="3" t="s">
        <v>2288</v>
      </c>
      <c r="E162" t="s">
        <v>84</v>
      </c>
      <c r="F162" s="2" t="str">
        <f t="shared" si="27"/>
        <v>224</v>
      </c>
      <c r="G162" s="2" t="str">
        <f t="shared" si="28"/>
        <v>255</v>
      </c>
      <c r="H162" s="2" t="str">
        <f t="shared" si="29"/>
        <v>255</v>
      </c>
      <c r="I162" s="150"/>
    </row>
    <row r="163" spans="1:12" x14ac:dyDescent="0.25">
      <c r="A163" t="s">
        <v>384</v>
      </c>
      <c r="B163" t="s">
        <v>2567</v>
      </c>
      <c r="C163" s="2" t="s">
        <v>385</v>
      </c>
      <c r="D163" s="3" t="s">
        <v>2413</v>
      </c>
      <c r="E163" t="s">
        <v>84</v>
      </c>
      <c r="F163" s="2" t="str">
        <f t="shared" si="27"/>
        <v>24</v>
      </c>
      <c r="G163" s="2" t="str">
        <f t="shared" si="28"/>
        <v>116</v>
      </c>
      <c r="H163" s="2" t="str">
        <f t="shared" si="29"/>
        <v>205</v>
      </c>
      <c r="I163" s="772"/>
    </row>
    <row r="164" spans="1:12" x14ac:dyDescent="0.25">
      <c r="A164" t="s">
        <v>1294</v>
      </c>
      <c r="B164" t="s">
        <v>2567</v>
      </c>
      <c r="C164" s="2" t="s">
        <v>347</v>
      </c>
      <c r="D164" s="3" t="s">
        <v>2007</v>
      </c>
      <c r="E164" t="s">
        <v>84</v>
      </c>
      <c r="F164" s="5">
        <v>240</v>
      </c>
      <c r="G164" s="5">
        <v>247</v>
      </c>
      <c r="H164" s="5">
        <v>255</v>
      </c>
      <c r="I164" s="674"/>
      <c r="L164" s="7"/>
    </row>
    <row r="165" spans="1:12" x14ac:dyDescent="0.25">
      <c r="A165" t="s">
        <v>140</v>
      </c>
      <c r="B165" t="s">
        <v>2567</v>
      </c>
      <c r="C165" s="2" t="s">
        <v>347</v>
      </c>
      <c r="D165" s="3" t="s">
        <v>2330</v>
      </c>
      <c r="E165" t="s">
        <v>84</v>
      </c>
      <c r="F165" s="2" t="str">
        <f t="shared" ref="F165:F171" si="30">LEFT(D165,FIND(",",D165)-1)</f>
        <v>240</v>
      </c>
      <c r="G165" s="2" t="str">
        <f t="shared" ref="G165:G171" si="31">MID(D165,FIND(",",D165)+1,FIND(",",D165,FIND(",",D165)+1)-FIND(",",D165)-1)</f>
        <v>248</v>
      </c>
      <c r="H165" s="2" t="str">
        <f t="shared" ref="H165:H171" si="32">RIGHT(D165,LEN(D165)-FIND(",",D165,FIND(",",D165)+1))</f>
        <v>255</v>
      </c>
      <c r="I165" s="206"/>
    </row>
    <row r="166" spans="1:12" x14ac:dyDescent="0.25">
      <c r="A166" t="s">
        <v>346</v>
      </c>
      <c r="B166" t="s">
        <v>2567</v>
      </c>
      <c r="C166" s="2" t="s">
        <v>347</v>
      </c>
      <c r="D166" s="3" t="s">
        <v>2330</v>
      </c>
      <c r="E166" t="s">
        <v>84</v>
      </c>
      <c r="F166" s="2" t="str">
        <f t="shared" si="30"/>
        <v>240</v>
      </c>
      <c r="G166" s="2" t="str">
        <f t="shared" si="31"/>
        <v>248</v>
      </c>
      <c r="H166" s="2" t="str">
        <f t="shared" si="32"/>
        <v>255</v>
      </c>
      <c r="I166" s="206"/>
    </row>
    <row r="167" spans="1:12" x14ac:dyDescent="0.25">
      <c r="A167" t="s">
        <v>144</v>
      </c>
      <c r="B167" t="s">
        <v>2567</v>
      </c>
      <c r="C167" s="2" t="s">
        <v>504</v>
      </c>
      <c r="D167" s="3" t="s">
        <v>2032</v>
      </c>
      <c r="E167" t="s">
        <v>84</v>
      </c>
      <c r="F167" s="2" t="str">
        <f t="shared" si="30"/>
        <v>240</v>
      </c>
      <c r="G167" s="2" t="str">
        <f t="shared" si="31"/>
        <v>255</v>
      </c>
      <c r="H167" s="2" t="str">
        <f t="shared" si="32"/>
        <v>255</v>
      </c>
      <c r="I167" s="161"/>
    </row>
    <row r="168" spans="1:12" x14ac:dyDescent="0.25">
      <c r="A168" t="s">
        <v>505</v>
      </c>
      <c r="B168" t="s">
        <v>2567</v>
      </c>
      <c r="C168" s="2" t="s">
        <v>504</v>
      </c>
      <c r="D168" s="3" t="s">
        <v>2032</v>
      </c>
      <c r="E168" t="s">
        <v>84</v>
      </c>
      <c r="F168" s="2" t="str">
        <f t="shared" si="30"/>
        <v>240</v>
      </c>
      <c r="G168" s="2" t="str">
        <f t="shared" si="31"/>
        <v>255</v>
      </c>
      <c r="H168" s="2" t="str">
        <f t="shared" si="32"/>
        <v>255</v>
      </c>
      <c r="I168" s="161"/>
    </row>
    <row r="169" spans="1:12" x14ac:dyDescent="0.25">
      <c r="A169" t="s">
        <v>439</v>
      </c>
      <c r="B169" t="s">
        <v>2567</v>
      </c>
      <c r="C169" s="2">
        <v>191970</v>
      </c>
      <c r="D169" s="3" t="s">
        <v>1657</v>
      </c>
      <c r="E169" t="s">
        <v>84</v>
      </c>
      <c r="F169" s="2" t="str">
        <f t="shared" si="30"/>
        <v>25</v>
      </c>
      <c r="G169" s="2" t="str">
        <f t="shared" si="31"/>
        <v xml:space="preserve"> 25</v>
      </c>
      <c r="H169" s="2" t="str">
        <f t="shared" si="32"/>
        <v xml:space="preserve"> 112</v>
      </c>
      <c r="I169" s="155"/>
    </row>
    <row r="170" spans="1:12" x14ac:dyDescent="0.25">
      <c r="A170" t="s">
        <v>80</v>
      </c>
      <c r="B170" t="s">
        <v>2567</v>
      </c>
      <c r="C170" s="2">
        <v>191970</v>
      </c>
      <c r="D170" s="3" t="s">
        <v>1756</v>
      </c>
      <c r="E170" t="s">
        <v>84</v>
      </c>
      <c r="F170" s="2" t="str">
        <f t="shared" si="30"/>
        <v>25</v>
      </c>
      <c r="G170" s="2" t="str">
        <f t="shared" si="31"/>
        <v>25</v>
      </c>
      <c r="H170" s="2" t="str">
        <f t="shared" si="32"/>
        <v>112</v>
      </c>
      <c r="I170" s="155"/>
    </row>
    <row r="171" spans="1:12" x14ac:dyDescent="0.25">
      <c r="A171" t="s">
        <v>439</v>
      </c>
      <c r="B171" t="s">
        <v>2567</v>
      </c>
      <c r="C171" s="2">
        <v>191970</v>
      </c>
      <c r="D171" s="3" t="s">
        <v>1756</v>
      </c>
      <c r="E171" t="s">
        <v>84</v>
      </c>
      <c r="F171" s="2" t="str">
        <f t="shared" si="30"/>
        <v>25</v>
      </c>
      <c r="G171" s="2" t="str">
        <f t="shared" si="31"/>
        <v>25</v>
      </c>
      <c r="H171" s="2" t="str">
        <f t="shared" si="32"/>
        <v>112</v>
      </c>
      <c r="I171" s="155"/>
    </row>
    <row r="172" spans="1:12" x14ac:dyDescent="0.25">
      <c r="A172" t="s">
        <v>1354</v>
      </c>
      <c r="B172" t="s">
        <v>2567</v>
      </c>
      <c r="C172" s="2" t="s">
        <v>2592</v>
      </c>
      <c r="D172" s="3" t="s">
        <v>2077</v>
      </c>
      <c r="E172" t="s">
        <v>84</v>
      </c>
      <c r="F172" s="5">
        <v>26</v>
      </c>
      <c r="G172" s="5">
        <v>115</v>
      </c>
      <c r="H172" s="5">
        <v>209</v>
      </c>
      <c r="I172" s="681"/>
      <c r="L172" s="7"/>
    </row>
    <row r="173" spans="1:12" x14ac:dyDescent="0.25">
      <c r="A173" t="s">
        <v>382</v>
      </c>
      <c r="B173" t="s">
        <v>2567</v>
      </c>
      <c r="C173" s="2" t="s">
        <v>383</v>
      </c>
      <c r="D173" s="3" t="s">
        <v>2412</v>
      </c>
      <c r="E173" t="s">
        <v>84</v>
      </c>
      <c r="F173" s="2" t="str">
        <f>LEFT(D173,FIND(",",D173)-1)</f>
        <v>28</v>
      </c>
      <c r="G173" s="2" t="str">
        <f>MID(D173,FIND(",",D173)+1,FIND(",",D173,FIND(",",D173)+1)-FIND(",",D173)-1)</f>
        <v>134</v>
      </c>
      <c r="H173" s="2" t="str">
        <f>RIGHT(D173,LEN(D173)-FIND(",",D173,FIND(",",D173)+1))</f>
        <v>238</v>
      </c>
      <c r="I173" s="54"/>
    </row>
    <row r="174" spans="1:12" x14ac:dyDescent="0.25">
      <c r="A174" t="s">
        <v>1991</v>
      </c>
      <c r="B174" t="s">
        <v>2567</v>
      </c>
      <c r="C174" s="2" t="s">
        <v>2593</v>
      </c>
      <c r="D174" s="3" t="s">
        <v>2119</v>
      </c>
      <c r="E174" t="s">
        <v>84</v>
      </c>
      <c r="F174" s="5">
        <v>28</v>
      </c>
      <c r="G174" s="5">
        <v>171</v>
      </c>
      <c r="H174" s="5">
        <v>214</v>
      </c>
      <c r="I174" s="515"/>
      <c r="L174" s="7"/>
    </row>
    <row r="175" spans="1:12" x14ac:dyDescent="0.25">
      <c r="A175" t="s">
        <v>379</v>
      </c>
      <c r="B175" t="s">
        <v>2567</v>
      </c>
      <c r="C175" s="2" t="s">
        <v>380</v>
      </c>
      <c r="D175" s="3" t="s">
        <v>1650</v>
      </c>
      <c r="E175" t="s">
        <v>84</v>
      </c>
      <c r="F175" s="2" t="str">
        <f>LEFT(D175,FIND(",",D175)-1)</f>
        <v>30</v>
      </c>
      <c r="G175" s="2" t="str">
        <f>MID(D175,FIND(",",D175)+1,FIND(",",D175,FIND(",",D175)+1)-FIND(",",D175)-1)</f>
        <v xml:space="preserve"> 144</v>
      </c>
      <c r="H175" s="2" t="str">
        <f>RIGHT(D175,LEN(D175)-FIND(",",D175,FIND(",",D175)+1))</f>
        <v xml:space="preserve"> 255</v>
      </c>
      <c r="I175" s="643"/>
    </row>
    <row r="176" spans="1:12" x14ac:dyDescent="0.25">
      <c r="A176" t="s">
        <v>76</v>
      </c>
      <c r="B176" t="s">
        <v>2567</v>
      </c>
      <c r="C176" s="2" t="s">
        <v>380</v>
      </c>
      <c r="D176" s="3" t="s">
        <v>2297</v>
      </c>
      <c r="E176" t="s">
        <v>84</v>
      </c>
      <c r="F176" s="2" t="str">
        <f>LEFT(D176,FIND(",",D176)-1)</f>
        <v>30</v>
      </c>
      <c r="G176" s="2" t="str">
        <f>MID(D176,FIND(",",D176)+1,FIND(",",D176,FIND(",",D176)+1)-FIND(",",D176)-1)</f>
        <v>144</v>
      </c>
      <c r="H176" s="2" t="str">
        <f>RIGHT(D176,LEN(D176)-FIND(",",D176,FIND(",",D176)+1))</f>
        <v>255</v>
      </c>
      <c r="I176" s="643"/>
    </row>
    <row r="177" spans="1:12" x14ac:dyDescent="0.25">
      <c r="A177" t="s">
        <v>379</v>
      </c>
      <c r="B177" t="s">
        <v>2567</v>
      </c>
      <c r="C177" s="2" t="s">
        <v>380</v>
      </c>
      <c r="D177" s="3" t="s">
        <v>2297</v>
      </c>
      <c r="E177" t="s">
        <v>84</v>
      </c>
      <c r="F177" s="2" t="str">
        <f>LEFT(D177,FIND(",",D177)-1)</f>
        <v>30</v>
      </c>
      <c r="G177" s="2" t="str">
        <f>MID(D177,FIND(",",D177)+1,FIND(",",D177,FIND(",",D177)+1)-FIND(",",D177)-1)</f>
        <v>144</v>
      </c>
      <c r="H177" s="2" t="str">
        <f>RIGHT(D177,LEN(D177)-FIND(",",D177,FIND(",",D177)+1))</f>
        <v>255</v>
      </c>
      <c r="I177" s="643"/>
    </row>
    <row r="178" spans="1:12" x14ac:dyDescent="0.25">
      <c r="A178" t="s">
        <v>381</v>
      </c>
      <c r="B178" t="s">
        <v>2567</v>
      </c>
      <c r="C178" s="2" t="s">
        <v>380</v>
      </c>
      <c r="D178" s="3" t="s">
        <v>2297</v>
      </c>
      <c r="E178" t="s">
        <v>84</v>
      </c>
      <c r="F178" s="2" t="str">
        <f>LEFT(D178,FIND(",",D178)-1)</f>
        <v>30</v>
      </c>
      <c r="G178" s="2" t="str">
        <f>MID(D178,FIND(",",D178)+1,FIND(",",D178,FIND(",",D178)+1)-FIND(",",D178)-1)</f>
        <v>144</v>
      </c>
      <c r="H178" s="2" t="str">
        <f>RIGHT(D178,LEN(D178)-FIND(",",D178,FIND(",",D178)+1))</f>
        <v>255</v>
      </c>
      <c r="I178" s="643"/>
    </row>
    <row r="179" spans="1:12" x14ac:dyDescent="0.25">
      <c r="A179" t="s">
        <v>1984</v>
      </c>
      <c r="B179" t="s">
        <v>2567</v>
      </c>
      <c r="C179" s="2" t="s">
        <v>2594</v>
      </c>
      <c r="D179" s="3" t="s">
        <v>2059</v>
      </c>
      <c r="E179" t="s">
        <v>84</v>
      </c>
      <c r="F179" s="5">
        <v>31</v>
      </c>
      <c r="G179" s="5">
        <v>117</v>
      </c>
      <c r="H179" s="5">
        <v>255</v>
      </c>
      <c r="I179" s="679"/>
      <c r="L179" s="7"/>
    </row>
    <row r="180" spans="1:12" x14ac:dyDescent="0.25">
      <c r="A180" t="s">
        <v>1476</v>
      </c>
      <c r="B180" t="s">
        <v>2567</v>
      </c>
      <c r="C180" s="2" t="s">
        <v>380</v>
      </c>
      <c r="D180" s="3" t="s">
        <v>2202</v>
      </c>
      <c r="E180" t="s">
        <v>84</v>
      </c>
      <c r="F180" s="5">
        <v>31</v>
      </c>
      <c r="G180" s="5">
        <v>143</v>
      </c>
      <c r="H180" s="5">
        <v>255</v>
      </c>
      <c r="I180" s="631"/>
      <c r="L180" s="7"/>
    </row>
    <row r="181" spans="1:12" x14ac:dyDescent="0.25">
      <c r="A181" t="s">
        <v>570</v>
      </c>
      <c r="B181" t="s">
        <v>2567</v>
      </c>
      <c r="C181" s="2" t="s">
        <v>571</v>
      </c>
      <c r="D181" s="3" t="s">
        <v>2465</v>
      </c>
      <c r="E181" t="s">
        <v>84</v>
      </c>
      <c r="F181" s="2" t="str">
        <f>LEFT(D181,FIND(",",D181)-1)</f>
        <v>31</v>
      </c>
      <c r="G181" s="2" t="str">
        <f>MID(D181,FIND(",",D181)+1,FIND(",",D181,FIND(",",D181)+1)-FIND(",",D181)-1)</f>
        <v>80</v>
      </c>
      <c r="H181" s="2" t="str">
        <f>RIGHT(D181,LEN(D181)-FIND(",",D181,FIND(",",D181)+1))</f>
        <v>200</v>
      </c>
      <c r="I181" s="474"/>
    </row>
    <row r="182" spans="1:12" x14ac:dyDescent="0.25">
      <c r="A182" t="s">
        <v>520</v>
      </c>
      <c r="B182" t="s">
        <v>2567</v>
      </c>
      <c r="C182" s="2" t="s">
        <v>521</v>
      </c>
      <c r="D182" s="3" t="s">
        <v>2456</v>
      </c>
      <c r="E182" t="s">
        <v>84</v>
      </c>
      <c r="F182" s="2" t="str">
        <f>LEFT(D182,FIND(",",D182)-1)</f>
        <v>31</v>
      </c>
      <c r="G182" s="2" t="str">
        <f>MID(D182,FIND(",",D182)+1,FIND(",",D182,FIND(",",D182)+1)-FIND(",",D182)-1)</f>
        <v>80</v>
      </c>
      <c r="H182" s="2" t="str">
        <f>RIGHT(D182,LEN(D182)-FIND(",",D182,FIND(",",D182)+1))</f>
        <v>204</v>
      </c>
      <c r="I182" s="541"/>
    </row>
    <row r="183" spans="1:12" x14ac:dyDescent="0.25">
      <c r="A183" t="s">
        <v>1472</v>
      </c>
      <c r="B183" t="s">
        <v>2567</v>
      </c>
      <c r="C183" s="2" t="s">
        <v>2595</v>
      </c>
      <c r="D183" s="3" t="s">
        <v>2199</v>
      </c>
      <c r="E183" t="s">
        <v>84</v>
      </c>
      <c r="F183" s="5">
        <v>33</v>
      </c>
      <c r="G183" s="5">
        <v>66</v>
      </c>
      <c r="H183" s="5">
        <v>181</v>
      </c>
      <c r="I183" s="372"/>
      <c r="L183" s="7"/>
    </row>
    <row r="184" spans="1:12" x14ac:dyDescent="0.25">
      <c r="A184" t="s">
        <v>556</v>
      </c>
      <c r="B184" t="s">
        <v>2567</v>
      </c>
      <c r="C184" s="2" t="s">
        <v>557</v>
      </c>
      <c r="D184" s="3" t="s">
        <v>1779</v>
      </c>
      <c r="E184" t="s">
        <v>84</v>
      </c>
      <c r="F184" s="2" t="str">
        <f>LEFT(D184,FIND(",",D184)-1)</f>
        <v>35</v>
      </c>
      <c r="G184" s="2" t="str">
        <f>MID(D184,FIND(",",D184)+1,FIND(",",D184,FIND(",",D184)+1)-FIND(",",D184)-1)</f>
        <v>35</v>
      </c>
      <c r="H184" s="2" t="str">
        <f>RIGHT(D184,LEN(D184)-FIND(",",D184,FIND(",",D184)+1))</f>
        <v>142</v>
      </c>
      <c r="I184" s="248"/>
    </row>
    <row r="185" spans="1:12" x14ac:dyDescent="0.25">
      <c r="A185" t="s">
        <v>547</v>
      </c>
      <c r="B185" t="s">
        <v>2567</v>
      </c>
      <c r="C185" s="2">
        <v>241882</v>
      </c>
      <c r="D185" s="3" t="s">
        <v>1776</v>
      </c>
      <c r="E185" t="s">
        <v>84</v>
      </c>
      <c r="F185" s="2" t="str">
        <f>LEFT(D185,FIND(",",D185)-1)</f>
        <v>36</v>
      </c>
      <c r="G185" s="2" t="str">
        <f>MID(D185,FIND(",",D185)+1,FIND(",",D185,FIND(",",D185)+1)-FIND(",",D185)-1)</f>
        <v>24</v>
      </c>
      <c r="H185" s="2" t="str">
        <f>RIGHT(D185,LEN(D185)-FIND(",",D185,FIND(",",D185)+1))</f>
        <v>130</v>
      </c>
      <c r="I185" s="63"/>
    </row>
    <row r="186" spans="1:12" x14ac:dyDescent="0.25">
      <c r="A186" t="s">
        <v>460</v>
      </c>
      <c r="B186" t="s">
        <v>2567</v>
      </c>
      <c r="C186" s="2" t="s">
        <v>461</v>
      </c>
      <c r="D186" s="3" t="s">
        <v>1759</v>
      </c>
      <c r="E186" t="s">
        <v>84</v>
      </c>
      <c r="F186" s="2" t="str">
        <f>LEFT(D186,FIND(",",D186)-1)</f>
        <v>39</v>
      </c>
      <c r="G186" s="2" t="str">
        <f>MID(D186,FIND(",",D186)+1,FIND(",",D186,FIND(",",D186)+1)-FIND(",",D186)-1)</f>
        <v>64</v>
      </c>
      <c r="H186" s="2" t="str">
        <f>RIGHT(D186,LEN(D186)-FIND(",",D186,FIND(",",D186)+1))</f>
        <v>139</v>
      </c>
      <c r="I186" s="321"/>
    </row>
    <row r="187" spans="1:12" x14ac:dyDescent="0.25">
      <c r="A187" t="s">
        <v>1393</v>
      </c>
      <c r="B187" t="s">
        <v>2567</v>
      </c>
      <c r="C187" s="2" t="s">
        <v>2596</v>
      </c>
      <c r="D187" s="3" t="s">
        <v>2117</v>
      </c>
      <c r="E187" t="s">
        <v>84</v>
      </c>
      <c r="F187" s="5">
        <v>41</v>
      </c>
      <c r="G187" s="5">
        <v>82</v>
      </c>
      <c r="H187" s="5">
        <v>191</v>
      </c>
      <c r="I187" s="301"/>
      <c r="L187" s="7"/>
    </row>
    <row r="188" spans="1:12" x14ac:dyDescent="0.25">
      <c r="A188" t="s">
        <v>1427</v>
      </c>
      <c r="B188" t="s">
        <v>2567</v>
      </c>
      <c r="C188" s="2" t="s">
        <v>2597</v>
      </c>
      <c r="D188" s="3" t="s">
        <v>2154</v>
      </c>
      <c r="E188" t="s">
        <v>84</v>
      </c>
      <c r="F188" s="5">
        <v>46</v>
      </c>
      <c r="G188" s="5">
        <v>46</v>
      </c>
      <c r="H188" s="5">
        <v>135</v>
      </c>
      <c r="I188" s="832"/>
      <c r="L188" s="7"/>
    </row>
    <row r="189" spans="1:12" x14ac:dyDescent="0.25">
      <c r="A189" t="s">
        <v>1329</v>
      </c>
      <c r="B189" t="s">
        <v>2567</v>
      </c>
      <c r="C189" s="4" t="s">
        <v>2598</v>
      </c>
      <c r="D189" s="3" t="s">
        <v>2044</v>
      </c>
      <c r="E189" t="s">
        <v>84</v>
      </c>
      <c r="F189" s="5">
        <v>46</v>
      </c>
      <c r="G189" s="5">
        <v>89</v>
      </c>
      <c r="H189" s="5">
        <v>148</v>
      </c>
      <c r="I189" s="736"/>
      <c r="L189" s="7"/>
    </row>
    <row r="190" spans="1:12" x14ac:dyDescent="0.25">
      <c r="A190" t="s">
        <v>554</v>
      </c>
      <c r="B190" t="s">
        <v>2567</v>
      </c>
      <c r="C190" s="2" t="s">
        <v>555</v>
      </c>
      <c r="D190" s="3" t="s">
        <v>1778</v>
      </c>
      <c r="E190" t="s">
        <v>84</v>
      </c>
      <c r="F190" s="2" t="str">
        <f>LEFT(D190,FIND(",",D190)-1)</f>
        <v>47</v>
      </c>
      <c r="G190" s="2" t="str">
        <f>MID(D190,FIND(",",D190)+1,FIND(",",D190,FIND(",",D190)+1)-FIND(",",D190)-1)</f>
        <v>47</v>
      </c>
      <c r="H190" s="2" t="str">
        <f>RIGHT(D190,LEN(D190)-FIND(",",D190,FIND(",",D190)+1))</f>
        <v>79</v>
      </c>
      <c r="I190" s="589"/>
    </row>
    <row r="191" spans="1:12" x14ac:dyDescent="0.25">
      <c r="A191" t="s">
        <v>538</v>
      </c>
      <c r="B191" t="s">
        <v>2567</v>
      </c>
      <c r="C191" s="2" t="s">
        <v>340</v>
      </c>
      <c r="D191" s="3" t="s">
        <v>1744</v>
      </c>
      <c r="E191" t="s">
        <v>84</v>
      </c>
      <c r="F191" s="2" t="str">
        <f>LEFT(D191,FIND(",",D191)-1)</f>
        <v>47</v>
      </c>
      <c r="G191" s="2" t="str">
        <f>MID(D191,FIND(",",D191)+1,FIND(",",D191,FIND(",",D191)+1)-FIND(",",D191)-1)</f>
        <v>79</v>
      </c>
      <c r="H191" s="2" t="str">
        <f>RIGHT(D191,LEN(D191)-FIND(",",D191,FIND(",",D191)+1))</f>
        <v>79</v>
      </c>
      <c r="I191" s="237"/>
    </row>
    <row r="192" spans="1:12" x14ac:dyDescent="0.25">
      <c r="A192" t="s">
        <v>1340</v>
      </c>
      <c r="B192" t="s">
        <v>2567</v>
      </c>
      <c r="C192" s="2" t="s">
        <v>2599</v>
      </c>
      <c r="D192" s="3" t="s">
        <v>2056</v>
      </c>
      <c r="E192" t="s">
        <v>84</v>
      </c>
      <c r="F192" s="5">
        <v>48</v>
      </c>
      <c r="G192" s="5">
        <v>140</v>
      </c>
      <c r="H192" s="5">
        <v>232</v>
      </c>
      <c r="I192" s="436"/>
      <c r="L192" s="7"/>
    </row>
    <row r="193" spans="1:12" x14ac:dyDescent="0.25">
      <c r="A193" t="s">
        <v>564</v>
      </c>
      <c r="B193" t="s">
        <v>2567</v>
      </c>
      <c r="C193" s="2" t="s">
        <v>565</v>
      </c>
      <c r="D193" s="3" t="s">
        <v>2463</v>
      </c>
      <c r="E193" t="s">
        <v>84</v>
      </c>
      <c r="F193" s="2" t="str">
        <f>LEFT(D193,FIND(",",D193)-1)</f>
        <v>50</v>
      </c>
      <c r="G193" s="2" t="str">
        <f>MID(D193,FIND(",",D193)+1,FIND(",",D193,FIND(",",D193)+1)-FIND(",",D193)-1)</f>
        <v>153</v>
      </c>
      <c r="H193" s="2" t="str">
        <f>RIGHT(D193,LEN(D193)-FIND(",",D193,FIND(",",D193)+1))</f>
        <v>204</v>
      </c>
      <c r="I193" s="777"/>
    </row>
    <row r="194" spans="1:12" x14ac:dyDescent="0.25">
      <c r="A194" t="s">
        <v>3252</v>
      </c>
      <c r="B194" t="s">
        <v>2567</v>
      </c>
      <c r="C194" s="2">
        <v>336699</v>
      </c>
      <c r="D194" s="3" t="s">
        <v>2449</v>
      </c>
      <c r="E194" t="s">
        <v>84</v>
      </c>
      <c r="F194" s="2" t="str">
        <f>LEFT(D194,FIND(",",D194)-1)</f>
        <v>51</v>
      </c>
      <c r="G194" s="2" t="str">
        <f>MID(D194,FIND(",",D194)+1,FIND(",",D194,FIND(",",D194)+1)-FIND(",",D194)-1)</f>
        <v>102</v>
      </c>
      <c r="H194" s="2" t="str">
        <f>RIGHT(D194,LEN(D194)-FIND(",",D194,FIND(",",D194)+1))</f>
        <v>153</v>
      </c>
      <c r="I194" s="645"/>
    </row>
    <row r="195" spans="1:12" x14ac:dyDescent="0.25">
      <c r="A195" t="s">
        <v>3253</v>
      </c>
      <c r="B195" t="s">
        <v>2567</v>
      </c>
      <c r="C195" s="2" t="s">
        <v>493</v>
      </c>
      <c r="D195" s="3" t="s">
        <v>2450</v>
      </c>
      <c r="E195" t="s">
        <v>84</v>
      </c>
      <c r="F195" s="2" t="str">
        <f>LEFT(D195,FIND(",",D195)-1)</f>
        <v>51</v>
      </c>
      <c r="G195" s="2" t="str">
        <f>MID(D195,FIND(",",D195)+1,FIND(",",D195,FIND(",",D195)+1)-FIND(",",D195)-1)</f>
        <v>153</v>
      </c>
      <c r="H195" s="2" t="str">
        <f>RIGHT(D195,LEN(D195)-FIND(",",D195,FIND(",",D195)+1))</f>
        <v>204</v>
      </c>
      <c r="I195" s="702"/>
    </row>
    <row r="196" spans="1:12" x14ac:dyDescent="0.25">
      <c r="A196" t="s">
        <v>1988</v>
      </c>
      <c r="B196" t="s">
        <v>2567</v>
      </c>
      <c r="C196" s="2">
        <v>333399</v>
      </c>
      <c r="D196" s="3" t="s">
        <v>2063</v>
      </c>
      <c r="E196" t="s">
        <v>84</v>
      </c>
      <c r="F196" s="5">
        <v>51</v>
      </c>
      <c r="G196" s="5">
        <v>51</v>
      </c>
      <c r="H196" s="5">
        <v>153</v>
      </c>
      <c r="I196" s="357"/>
      <c r="L196" s="7"/>
    </row>
    <row r="197" spans="1:12" x14ac:dyDescent="0.25">
      <c r="A197" t="s">
        <v>491</v>
      </c>
      <c r="B197" t="s">
        <v>2567</v>
      </c>
      <c r="C197" s="2" t="s">
        <v>492</v>
      </c>
      <c r="D197" s="3" t="s">
        <v>2448</v>
      </c>
      <c r="E197" t="s">
        <v>84</v>
      </c>
      <c r="F197" s="2" t="str">
        <f>LEFT(D197,FIND(",",D197)-1)</f>
        <v>54</v>
      </c>
      <c r="G197" s="2" t="str">
        <f>MID(D197,FIND(",",D197)+1,FIND(",",D197,FIND(",",D197)+1)-FIND(",",D197)-1)</f>
        <v>100</v>
      </c>
      <c r="H197" s="2" t="str">
        <f>RIGHT(D197,LEN(D197)-FIND(",",D197,FIND(",",D197)+1))</f>
        <v>139</v>
      </c>
      <c r="I197" s="587"/>
    </row>
    <row r="198" spans="1:12" x14ac:dyDescent="0.25">
      <c r="A198" t="s">
        <v>568</v>
      </c>
      <c r="B198" t="s">
        <v>2567</v>
      </c>
      <c r="C198" s="2" t="s">
        <v>569</v>
      </c>
      <c r="D198" s="3" t="s">
        <v>2464</v>
      </c>
      <c r="E198" t="s">
        <v>84</v>
      </c>
      <c r="F198" s="2" t="str">
        <f>LEFT(D198,FIND(",",D198)-1)</f>
        <v>56</v>
      </c>
      <c r="G198" s="2" t="str">
        <f>MID(D198,FIND(",",D198)+1,FIND(",",D198,FIND(",",D198)+1)-FIND(",",D198)-1)</f>
        <v>176</v>
      </c>
      <c r="H198" s="2" t="str">
        <f>RIGHT(D198,LEN(D198)-FIND(",",D198,FIND(",",D198)+1))</f>
        <v>222</v>
      </c>
      <c r="I198" s="396"/>
    </row>
    <row r="199" spans="1:12" x14ac:dyDescent="0.25">
      <c r="A199" t="s">
        <v>458</v>
      </c>
      <c r="B199" t="s">
        <v>2567</v>
      </c>
      <c r="C199" s="2" t="s">
        <v>459</v>
      </c>
      <c r="D199" s="3" t="s">
        <v>1758</v>
      </c>
      <c r="E199" t="s">
        <v>84</v>
      </c>
      <c r="F199" s="2" t="str">
        <f>LEFT(D199,FIND(",",D199)-1)</f>
        <v>58</v>
      </c>
      <c r="G199" s="2" t="str">
        <f>MID(D199,FIND(",",D199)+1,FIND(",",D199,FIND(",",D199)+1)-FIND(",",D199)-1)</f>
        <v>95</v>
      </c>
      <c r="H199" s="2" t="str">
        <f>RIGHT(D199,LEN(D199)-FIND(",",D199,FIND(",",D199)+1))</f>
        <v>205</v>
      </c>
      <c r="I199" s="774"/>
    </row>
    <row r="200" spans="1:12" x14ac:dyDescent="0.25">
      <c r="A200" t="s">
        <v>1347</v>
      </c>
      <c r="B200" t="s">
        <v>2567</v>
      </c>
      <c r="C200" s="2" t="s">
        <v>2600</v>
      </c>
      <c r="D200" s="3" t="s">
        <v>2070</v>
      </c>
      <c r="E200" t="s">
        <v>84</v>
      </c>
      <c r="F200" s="5">
        <v>61</v>
      </c>
      <c r="G200" s="5">
        <v>105</v>
      </c>
      <c r="H200" s="5">
        <v>232</v>
      </c>
      <c r="I200" s="295"/>
      <c r="L200" s="7"/>
    </row>
    <row r="201" spans="1:12" x14ac:dyDescent="0.25">
      <c r="A201" t="s">
        <v>1106</v>
      </c>
      <c r="B201" t="s">
        <v>2567</v>
      </c>
      <c r="C201" s="2" t="s">
        <v>529</v>
      </c>
      <c r="D201" s="3" t="s">
        <v>1639</v>
      </c>
      <c r="E201" t="s">
        <v>84</v>
      </c>
      <c r="F201" s="2" t="str">
        <f t="shared" ref="F201:F214" si="33">LEFT(D201,FIND(",",D201)-1)</f>
        <v>64</v>
      </c>
      <c r="G201" s="2" t="str">
        <f t="shared" ref="G201:G214" si="34">MID(D201,FIND(",",D201)+1,FIND(",",D201,FIND(",",D201)+1)-FIND(",",D201)-1)</f>
        <v xml:space="preserve"> 224</v>
      </c>
      <c r="H201" s="2" t="str">
        <f t="shared" ref="H201:H214" si="35">RIGHT(D201,LEN(D201)-FIND(",",D201,FIND(",",D201)+1))</f>
        <v xml:space="preserve"> 208</v>
      </c>
      <c r="I201" s="394"/>
    </row>
    <row r="202" spans="1:12" x14ac:dyDescent="0.25">
      <c r="A202" t="s">
        <v>67</v>
      </c>
      <c r="B202" t="s">
        <v>2567</v>
      </c>
      <c r="C202" s="2" t="s">
        <v>529</v>
      </c>
      <c r="D202" s="3" t="s">
        <v>2289</v>
      </c>
      <c r="E202" t="s">
        <v>84</v>
      </c>
      <c r="F202" s="2" t="str">
        <f t="shared" si="33"/>
        <v>64</v>
      </c>
      <c r="G202" s="2" t="str">
        <f t="shared" si="34"/>
        <v>224</v>
      </c>
      <c r="H202" s="2" t="str">
        <f t="shared" si="35"/>
        <v>208</v>
      </c>
      <c r="I202" s="394"/>
    </row>
    <row r="203" spans="1:12" x14ac:dyDescent="0.25">
      <c r="A203" t="s">
        <v>67</v>
      </c>
      <c r="B203" t="s">
        <v>2567</v>
      </c>
      <c r="C203" s="2" t="s">
        <v>529</v>
      </c>
      <c r="D203" s="3" t="s">
        <v>2289</v>
      </c>
      <c r="E203" t="s">
        <v>84</v>
      </c>
      <c r="F203" s="2" t="str">
        <f t="shared" si="33"/>
        <v>64</v>
      </c>
      <c r="G203" s="2" t="str">
        <f t="shared" si="34"/>
        <v>224</v>
      </c>
      <c r="H203" s="2" t="str">
        <f t="shared" si="35"/>
        <v>208</v>
      </c>
      <c r="I203" s="394"/>
    </row>
    <row r="204" spans="1:12" x14ac:dyDescent="0.25">
      <c r="A204" t="s">
        <v>453</v>
      </c>
      <c r="B204" t="s">
        <v>2567</v>
      </c>
      <c r="C204" s="4">
        <v>41690</v>
      </c>
      <c r="D204" s="3" t="s">
        <v>1652</v>
      </c>
      <c r="E204" t="s">
        <v>84</v>
      </c>
      <c r="F204" s="2" t="str">
        <f t="shared" si="33"/>
        <v>65</v>
      </c>
      <c r="G204" s="2" t="str">
        <f t="shared" si="34"/>
        <v xml:space="preserve"> 105</v>
      </c>
      <c r="H204" s="2" t="str">
        <f t="shared" si="35"/>
        <v xml:space="preserve"> 225</v>
      </c>
      <c r="I204" s="28"/>
    </row>
    <row r="205" spans="1:12" x14ac:dyDescent="0.25">
      <c r="A205" t="s">
        <v>85</v>
      </c>
      <c r="B205" t="s">
        <v>2567</v>
      </c>
      <c r="C205" s="4">
        <v>41690</v>
      </c>
      <c r="D205" s="3" t="s">
        <v>2301</v>
      </c>
      <c r="E205" t="s">
        <v>84</v>
      </c>
      <c r="F205" s="2" t="str">
        <f t="shared" si="33"/>
        <v>65</v>
      </c>
      <c r="G205" s="2" t="str">
        <f t="shared" si="34"/>
        <v>105</v>
      </c>
      <c r="H205" s="2" t="str">
        <f t="shared" si="35"/>
        <v>225</v>
      </c>
      <c r="I205" s="28"/>
    </row>
    <row r="206" spans="1:12" x14ac:dyDescent="0.25">
      <c r="A206" t="s">
        <v>453</v>
      </c>
      <c r="B206" t="s">
        <v>2567</v>
      </c>
      <c r="C206" s="2">
        <v>41690</v>
      </c>
      <c r="D206" s="3" t="s">
        <v>2301</v>
      </c>
      <c r="E206" t="s">
        <v>84</v>
      </c>
      <c r="F206" s="2" t="str">
        <f t="shared" si="33"/>
        <v>65</v>
      </c>
      <c r="G206" s="2" t="str">
        <f t="shared" si="34"/>
        <v>105</v>
      </c>
      <c r="H206" s="2" t="str">
        <f t="shared" si="35"/>
        <v>225</v>
      </c>
      <c r="I206" s="28"/>
    </row>
    <row r="207" spans="1:12" x14ac:dyDescent="0.25">
      <c r="A207" t="s">
        <v>572</v>
      </c>
      <c r="B207" t="s">
        <v>2567</v>
      </c>
      <c r="C207" s="2" t="s">
        <v>573</v>
      </c>
      <c r="D207" s="3" t="s">
        <v>1784</v>
      </c>
      <c r="E207" t="s">
        <v>84</v>
      </c>
      <c r="F207" s="2" t="str">
        <f t="shared" si="33"/>
        <v>65</v>
      </c>
      <c r="G207" s="2" t="str">
        <f t="shared" si="34"/>
        <v>86</v>
      </c>
      <c r="H207" s="2" t="str">
        <f t="shared" si="35"/>
        <v>197</v>
      </c>
      <c r="I207" s="249"/>
    </row>
    <row r="208" spans="1:12" x14ac:dyDescent="0.25">
      <c r="A208" t="s">
        <v>362</v>
      </c>
      <c r="B208" t="s">
        <v>2567</v>
      </c>
      <c r="C208" s="2" t="s">
        <v>363</v>
      </c>
      <c r="D208" s="3" t="s">
        <v>1747</v>
      </c>
      <c r="E208" t="s">
        <v>84</v>
      </c>
      <c r="F208" s="2" t="str">
        <f t="shared" si="33"/>
        <v>66</v>
      </c>
      <c r="G208" s="2" t="str">
        <f t="shared" si="34"/>
        <v>66</v>
      </c>
      <c r="H208" s="2" t="str">
        <f t="shared" si="35"/>
        <v>111</v>
      </c>
      <c r="I208" s="238"/>
    </row>
    <row r="209" spans="1:12" x14ac:dyDescent="0.25">
      <c r="A209" t="s">
        <v>456</v>
      </c>
      <c r="B209" t="s">
        <v>2567</v>
      </c>
      <c r="C209" s="2" t="s">
        <v>457</v>
      </c>
      <c r="D209" s="3" t="s">
        <v>2438</v>
      </c>
      <c r="E209" t="s">
        <v>84</v>
      </c>
      <c r="F209" s="2" t="str">
        <f t="shared" si="33"/>
        <v>67</v>
      </c>
      <c r="G209" s="2" t="str">
        <f t="shared" si="34"/>
        <v>110</v>
      </c>
      <c r="H209" s="2" t="str">
        <f t="shared" si="35"/>
        <v>238</v>
      </c>
      <c r="I209" s="58"/>
    </row>
    <row r="210" spans="1:12" x14ac:dyDescent="0.25">
      <c r="A210" t="s">
        <v>502</v>
      </c>
      <c r="B210" t="s">
        <v>2567</v>
      </c>
      <c r="C210" s="2" t="s">
        <v>503</v>
      </c>
      <c r="D210" s="3" t="s">
        <v>2452</v>
      </c>
      <c r="E210" t="s">
        <v>84</v>
      </c>
      <c r="F210" s="2" t="str">
        <f t="shared" si="33"/>
        <v>69</v>
      </c>
      <c r="G210" s="2" t="str">
        <f t="shared" si="34"/>
        <v>139</v>
      </c>
      <c r="H210" s="2" t="str">
        <f t="shared" si="35"/>
        <v>116</v>
      </c>
      <c r="I210" s="471"/>
    </row>
    <row r="211" spans="1:12" x14ac:dyDescent="0.25">
      <c r="A211" t="s">
        <v>483</v>
      </c>
      <c r="B211" t="s">
        <v>2567</v>
      </c>
      <c r="C211" s="2" t="s">
        <v>484</v>
      </c>
      <c r="D211" s="3" t="s">
        <v>1643</v>
      </c>
      <c r="E211" t="s">
        <v>84</v>
      </c>
      <c r="F211" s="2" t="str">
        <f t="shared" si="33"/>
        <v>70</v>
      </c>
      <c r="G211" s="2" t="str">
        <f t="shared" si="34"/>
        <v xml:space="preserve"> 130</v>
      </c>
      <c r="H211" s="2" t="str">
        <f t="shared" si="35"/>
        <v xml:space="preserve"> 180</v>
      </c>
      <c r="I211" s="184"/>
    </row>
    <row r="212" spans="1:12" x14ac:dyDescent="0.25">
      <c r="A212" t="s">
        <v>73</v>
      </c>
      <c r="B212" t="s">
        <v>2567</v>
      </c>
      <c r="C212" s="2" t="s">
        <v>484</v>
      </c>
      <c r="D212" s="3" t="s">
        <v>2295</v>
      </c>
      <c r="E212" t="s">
        <v>84</v>
      </c>
      <c r="F212" s="2" t="str">
        <f t="shared" si="33"/>
        <v>70</v>
      </c>
      <c r="G212" s="2" t="str">
        <f t="shared" si="34"/>
        <v>130</v>
      </c>
      <c r="H212" s="2" t="str">
        <f t="shared" si="35"/>
        <v>180</v>
      </c>
      <c r="I212" s="184"/>
    </row>
    <row r="213" spans="1:12" x14ac:dyDescent="0.25">
      <c r="A213" t="s">
        <v>483</v>
      </c>
      <c r="B213" t="s">
        <v>2567</v>
      </c>
      <c r="C213" s="2" t="s">
        <v>484</v>
      </c>
      <c r="D213" s="3" t="s">
        <v>2295</v>
      </c>
      <c r="E213" t="s">
        <v>84</v>
      </c>
      <c r="F213" s="2" t="str">
        <f t="shared" si="33"/>
        <v>70</v>
      </c>
      <c r="G213" s="2" t="str">
        <f t="shared" si="34"/>
        <v>130</v>
      </c>
      <c r="H213" s="2" t="str">
        <f t="shared" si="35"/>
        <v>180</v>
      </c>
      <c r="I213" s="184"/>
    </row>
    <row r="214" spans="1:12" x14ac:dyDescent="0.25">
      <c r="A214" t="s">
        <v>481</v>
      </c>
      <c r="B214" t="s">
        <v>2567</v>
      </c>
      <c r="C214" s="2" t="s">
        <v>482</v>
      </c>
      <c r="D214" s="3" t="s">
        <v>1763</v>
      </c>
      <c r="E214" t="s">
        <v>84</v>
      </c>
      <c r="F214" s="2" t="str">
        <f t="shared" si="33"/>
        <v>71</v>
      </c>
      <c r="G214" s="2" t="str">
        <f t="shared" si="34"/>
        <v>60</v>
      </c>
      <c r="H214" s="2" t="str">
        <f t="shared" si="35"/>
        <v>139</v>
      </c>
      <c r="I214" s="244"/>
    </row>
    <row r="215" spans="1:12" x14ac:dyDescent="0.25">
      <c r="A215" t="s">
        <v>1456</v>
      </c>
      <c r="B215" t="s">
        <v>2567</v>
      </c>
      <c r="C215" s="2" t="s">
        <v>367</v>
      </c>
      <c r="D215" s="3" t="s">
        <v>2185</v>
      </c>
      <c r="E215" t="s">
        <v>84</v>
      </c>
      <c r="F215" s="5">
        <v>71</v>
      </c>
      <c r="G215" s="5">
        <v>61</v>
      </c>
      <c r="H215" s="5">
        <v>140</v>
      </c>
      <c r="I215" s="370"/>
      <c r="L215" s="7"/>
    </row>
    <row r="216" spans="1:12" x14ac:dyDescent="0.25">
      <c r="A216" t="s">
        <v>437</v>
      </c>
      <c r="B216" t="s">
        <v>2567</v>
      </c>
      <c r="C216" s="2" t="s">
        <v>438</v>
      </c>
      <c r="D216" s="3" t="s">
        <v>1640</v>
      </c>
      <c r="E216" t="s">
        <v>84</v>
      </c>
      <c r="F216" s="2" t="str">
        <f t="shared" ref="F216:F224" si="36">LEFT(D216,FIND(",",D216)-1)</f>
        <v>72</v>
      </c>
      <c r="G216" s="2" t="str">
        <f t="shared" ref="G216:G224" si="37">MID(D216,FIND(",",D216)+1,FIND(",",D216,FIND(",",D216)+1)-FIND(",",D216)-1)</f>
        <v xml:space="preserve"> 209</v>
      </c>
      <c r="H216" s="2" t="str">
        <f t="shared" ref="H216:H224" si="38">RIGHT(D216,LEN(D216)-FIND(",",D216,FIND(",",D216)+1))</f>
        <v xml:space="preserve"> 204</v>
      </c>
      <c r="I216" s="242"/>
    </row>
    <row r="217" spans="1:12" x14ac:dyDescent="0.25">
      <c r="A217" t="s">
        <v>454</v>
      </c>
      <c r="B217" t="s">
        <v>2567</v>
      </c>
      <c r="C217" s="2" t="s">
        <v>455</v>
      </c>
      <c r="D217" s="3" t="s">
        <v>2437</v>
      </c>
      <c r="E217" t="s">
        <v>84</v>
      </c>
      <c r="F217" s="2" t="str">
        <f t="shared" si="36"/>
        <v>72</v>
      </c>
      <c r="G217" s="2" t="str">
        <f t="shared" si="37"/>
        <v>118</v>
      </c>
      <c r="H217" s="2" t="str">
        <f t="shared" si="38"/>
        <v>255</v>
      </c>
      <c r="I217" s="700"/>
    </row>
    <row r="218" spans="1:12" x14ac:dyDescent="0.25">
      <c r="A218" t="s">
        <v>68</v>
      </c>
      <c r="B218" t="s">
        <v>2567</v>
      </c>
      <c r="C218" s="2" t="s">
        <v>438</v>
      </c>
      <c r="D218" s="3" t="s">
        <v>2290</v>
      </c>
      <c r="E218" t="s">
        <v>84</v>
      </c>
      <c r="F218" s="2" t="str">
        <f t="shared" si="36"/>
        <v>72</v>
      </c>
      <c r="G218" s="2" t="str">
        <f t="shared" si="37"/>
        <v>209</v>
      </c>
      <c r="H218" s="2" t="str">
        <f t="shared" si="38"/>
        <v>204</v>
      </c>
      <c r="I218" s="242"/>
    </row>
    <row r="219" spans="1:12" x14ac:dyDescent="0.25">
      <c r="A219" t="s">
        <v>437</v>
      </c>
      <c r="B219" t="s">
        <v>2567</v>
      </c>
      <c r="C219" s="2" t="s">
        <v>438</v>
      </c>
      <c r="D219" s="3" t="s">
        <v>2290</v>
      </c>
      <c r="E219" t="s">
        <v>84</v>
      </c>
      <c r="F219" s="2" t="str">
        <f t="shared" si="36"/>
        <v>72</v>
      </c>
      <c r="G219" s="2" t="str">
        <f t="shared" si="37"/>
        <v>209</v>
      </c>
      <c r="H219" s="2" t="str">
        <f t="shared" si="38"/>
        <v>204</v>
      </c>
      <c r="I219" s="242"/>
    </row>
    <row r="220" spans="1:12" x14ac:dyDescent="0.25">
      <c r="A220" t="s">
        <v>88</v>
      </c>
      <c r="B220" t="s">
        <v>2567</v>
      </c>
      <c r="C220" s="2" t="s">
        <v>367</v>
      </c>
      <c r="D220" s="3" t="s">
        <v>1748</v>
      </c>
      <c r="E220" t="s">
        <v>84</v>
      </c>
      <c r="F220" s="2" t="str">
        <f t="shared" si="36"/>
        <v>72</v>
      </c>
      <c r="G220" s="2" t="str">
        <f t="shared" si="37"/>
        <v>61</v>
      </c>
      <c r="H220" s="2" t="str">
        <f t="shared" si="38"/>
        <v>139</v>
      </c>
      <c r="I220" s="156"/>
    </row>
    <row r="221" spans="1:12" x14ac:dyDescent="0.25">
      <c r="A221" t="s">
        <v>366</v>
      </c>
      <c r="B221" t="s">
        <v>2567</v>
      </c>
      <c r="C221" s="2" t="s">
        <v>367</v>
      </c>
      <c r="D221" s="3" t="s">
        <v>1748</v>
      </c>
      <c r="E221" t="s">
        <v>84</v>
      </c>
      <c r="F221" s="2" t="str">
        <f t="shared" si="36"/>
        <v>72</v>
      </c>
      <c r="G221" s="2" t="str">
        <f t="shared" si="37"/>
        <v>61</v>
      </c>
      <c r="H221" s="2" t="str">
        <f t="shared" si="38"/>
        <v>139</v>
      </c>
      <c r="I221" s="156"/>
    </row>
    <row r="222" spans="1:12" x14ac:dyDescent="0.25">
      <c r="A222" t="s">
        <v>471</v>
      </c>
      <c r="B222" t="s">
        <v>2567</v>
      </c>
      <c r="C222" s="2" t="s">
        <v>472</v>
      </c>
      <c r="D222" s="3" t="s">
        <v>2442</v>
      </c>
      <c r="E222" t="s">
        <v>84</v>
      </c>
      <c r="F222" s="2" t="str">
        <f t="shared" si="36"/>
        <v>74</v>
      </c>
      <c r="G222" s="2" t="str">
        <f t="shared" si="37"/>
        <v>112</v>
      </c>
      <c r="H222" s="2" t="str">
        <f t="shared" si="38"/>
        <v>139</v>
      </c>
      <c r="I222" s="59"/>
    </row>
    <row r="223" spans="1:12" x14ac:dyDescent="0.25">
      <c r="A223" t="s">
        <v>87</v>
      </c>
      <c r="B223" t="s">
        <v>2567</v>
      </c>
      <c r="C223" s="2" t="s">
        <v>2601</v>
      </c>
      <c r="D223" s="3" t="s">
        <v>1982</v>
      </c>
      <c r="E223" t="s">
        <v>84</v>
      </c>
      <c r="F223" s="2" t="str">
        <f t="shared" si="36"/>
        <v>75</v>
      </c>
      <c r="G223" s="2" t="str">
        <f t="shared" si="37"/>
        <v>0</v>
      </c>
      <c r="H223" s="2" t="str">
        <f t="shared" si="38"/>
        <v>130</v>
      </c>
      <c r="I223" s="124"/>
    </row>
    <row r="224" spans="1:12" x14ac:dyDescent="0.25">
      <c r="A224" t="s">
        <v>558</v>
      </c>
      <c r="B224" t="s">
        <v>2567</v>
      </c>
      <c r="C224" s="2" t="s">
        <v>559</v>
      </c>
      <c r="D224" s="3" t="s">
        <v>1780</v>
      </c>
      <c r="E224" t="s">
        <v>84</v>
      </c>
      <c r="F224" s="2" t="str">
        <f t="shared" si="36"/>
        <v>77</v>
      </c>
      <c r="G224" s="2" t="str">
        <f t="shared" si="37"/>
        <v>77</v>
      </c>
      <c r="H224" s="2" t="str">
        <f t="shared" si="38"/>
        <v>255</v>
      </c>
      <c r="I224" s="648"/>
    </row>
    <row r="225" spans="1:12" x14ac:dyDescent="0.25">
      <c r="A225" t="s">
        <v>1346</v>
      </c>
      <c r="B225" t="s">
        <v>2567</v>
      </c>
      <c r="C225" s="2" t="s">
        <v>2602</v>
      </c>
      <c r="D225" s="3" t="s">
        <v>2069</v>
      </c>
      <c r="E225" t="s">
        <v>84</v>
      </c>
      <c r="F225" s="5">
        <v>79</v>
      </c>
      <c r="G225" s="5">
        <v>115</v>
      </c>
      <c r="H225" s="5">
        <v>166</v>
      </c>
      <c r="I225" s="739"/>
      <c r="L225" s="7"/>
    </row>
    <row r="226" spans="1:12" x14ac:dyDescent="0.25">
      <c r="A226" t="s">
        <v>489</v>
      </c>
      <c r="B226" t="s">
        <v>2567</v>
      </c>
      <c r="C226" s="2" t="s">
        <v>490</v>
      </c>
      <c r="D226" s="3" t="s">
        <v>2447</v>
      </c>
      <c r="E226" t="s">
        <v>84</v>
      </c>
      <c r="F226" s="2" t="str">
        <f>LEFT(D226,FIND(",",D226)-1)</f>
        <v>79</v>
      </c>
      <c r="G226" s="2" t="str">
        <f>MID(D226,FIND(",",D226)+1,FIND(",",D226,FIND(",",D226)+1)-FIND(",",D226)-1)</f>
        <v>148</v>
      </c>
      <c r="H226" s="2" t="str">
        <f>RIGHT(D226,LEN(D226)-FIND(",",D226,FIND(",",D226)+1))</f>
        <v>205</v>
      </c>
      <c r="I226" s="540"/>
    </row>
    <row r="227" spans="1:12" x14ac:dyDescent="0.25">
      <c r="A227" t="s">
        <v>545</v>
      </c>
      <c r="B227" t="s">
        <v>2567</v>
      </c>
      <c r="C227" s="2" t="s">
        <v>546</v>
      </c>
      <c r="D227" s="3" t="s">
        <v>2460</v>
      </c>
      <c r="E227" t="s">
        <v>84</v>
      </c>
      <c r="F227" s="2" t="str">
        <f>LEFT(D227,FIND(",",D227)-1)</f>
        <v>82</v>
      </c>
      <c r="G227" s="2" t="str">
        <f>MID(D227,FIND(",",D227)+1,FIND(",",D227,FIND(",",D227)+1)-FIND(",",D227)-1)</f>
        <v>139</v>
      </c>
      <c r="H227" s="2" t="str">
        <f>RIGHT(D227,LEN(D227)-FIND(",",D227,FIND(",",D227)+1))</f>
        <v>139</v>
      </c>
      <c r="I227" s="324"/>
    </row>
    <row r="228" spans="1:12" x14ac:dyDescent="0.25">
      <c r="A228" t="s">
        <v>360</v>
      </c>
      <c r="B228" t="s">
        <v>2567</v>
      </c>
      <c r="C228" s="2" t="s">
        <v>361</v>
      </c>
      <c r="D228" s="3" t="s">
        <v>2411</v>
      </c>
      <c r="E228" t="s">
        <v>84</v>
      </c>
      <c r="F228" s="2" t="str">
        <f>LEFT(D228,FIND(",",D228)-1)</f>
        <v>83</v>
      </c>
      <c r="G228" s="2" t="str">
        <f>MID(D228,FIND(",",D228)+1,FIND(",",D228,FIND(",",D228)+1)-FIND(",",D228)-1)</f>
        <v>134</v>
      </c>
      <c r="H228" s="2" t="str">
        <f>RIGHT(D228,LEN(D228)-FIND(",",D228,FIND(",",D228)+1))</f>
        <v>139</v>
      </c>
      <c r="I228" s="207"/>
    </row>
    <row r="229" spans="1:12" x14ac:dyDescent="0.25">
      <c r="A229" t="s">
        <v>1441</v>
      </c>
      <c r="B229" t="s">
        <v>2567</v>
      </c>
      <c r="C229" s="2">
        <v>536878</v>
      </c>
      <c r="D229" s="3" t="s">
        <v>2169</v>
      </c>
      <c r="E229" t="s">
        <v>84</v>
      </c>
      <c r="F229" s="5">
        <v>84</v>
      </c>
      <c r="G229" s="5">
        <v>105</v>
      </c>
      <c r="H229" s="5">
        <v>120</v>
      </c>
      <c r="I229" s="448"/>
      <c r="L229" s="7"/>
    </row>
    <row r="230" spans="1:12" x14ac:dyDescent="0.25">
      <c r="A230" t="s">
        <v>1385</v>
      </c>
      <c r="B230" t="s">
        <v>2567</v>
      </c>
      <c r="C230" s="2" t="s">
        <v>2603</v>
      </c>
      <c r="D230" s="3" t="s">
        <v>2109</v>
      </c>
      <c r="E230" t="s">
        <v>84</v>
      </c>
      <c r="F230" s="5">
        <v>87</v>
      </c>
      <c r="G230" s="5">
        <v>161</v>
      </c>
      <c r="H230" s="5">
        <v>212</v>
      </c>
      <c r="I230" s="300"/>
      <c r="L230" s="7"/>
    </row>
    <row r="231" spans="1:12" x14ac:dyDescent="0.25">
      <c r="A231" t="s">
        <v>562</v>
      </c>
      <c r="B231" t="s">
        <v>2567</v>
      </c>
      <c r="C231" s="2" t="s">
        <v>563</v>
      </c>
      <c r="D231" s="3" t="s">
        <v>1782</v>
      </c>
      <c r="E231" t="s">
        <v>84</v>
      </c>
      <c r="F231" s="2" t="str">
        <f>LEFT(D231,FIND(",",D231)-1)</f>
        <v>89</v>
      </c>
      <c r="G231" s="2" t="str">
        <f>MID(D231,FIND(",",D231)+1,FIND(",",D231,FIND(",",D231)+1)-FIND(",",D231)-1)</f>
        <v>89</v>
      </c>
      <c r="H231" s="2" t="str">
        <f>RIGHT(D231,LEN(D231)-FIND(",",D231,FIND(",",D231)+1))</f>
        <v>171</v>
      </c>
      <c r="I231" s="64"/>
    </row>
    <row r="232" spans="1:12" x14ac:dyDescent="0.25">
      <c r="A232" t="s">
        <v>487</v>
      </c>
      <c r="B232" t="s">
        <v>2567</v>
      </c>
      <c r="C232" s="2" t="s">
        <v>488</v>
      </c>
      <c r="D232" s="3" t="s">
        <v>2446</v>
      </c>
      <c r="E232" t="s">
        <v>84</v>
      </c>
      <c r="F232" s="2" t="str">
        <f>LEFT(D232,FIND(",",D232)-1)</f>
        <v>92</v>
      </c>
      <c r="G232" s="2" t="str">
        <f>MID(D232,FIND(",",D232)+1,FIND(",",D232,FIND(",",D232)+1)-FIND(",",D232)-1)</f>
        <v>172</v>
      </c>
      <c r="H232" s="2" t="str">
        <f>RIGHT(D232,LEN(D232)-FIND(",",D232,FIND(",",D232)+1))</f>
        <v>238</v>
      </c>
      <c r="I232" s="60"/>
    </row>
    <row r="233" spans="1:12" x14ac:dyDescent="0.25">
      <c r="A233" t="s">
        <v>1344</v>
      </c>
      <c r="B233" t="s">
        <v>2567</v>
      </c>
      <c r="C233" s="2" t="s">
        <v>2604</v>
      </c>
      <c r="D233" s="3" t="s">
        <v>2066</v>
      </c>
      <c r="E233" t="s">
        <v>84</v>
      </c>
      <c r="F233" s="5">
        <v>92</v>
      </c>
      <c r="G233" s="5">
        <v>173</v>
      </c>
      <c r="H233" s="5">
        <v>237</v>
      </c>
      <c r="I233" s="573"/>
      <c r="L233" s="7"/>
    </row>
    <row r="234" spans="1:12" x14ac:dyDescent="0.25">
      <c r="A234" t="s">
        <v>1367</v>
      </c>
      <c r="B234" t="s">
        <v>2567</v>
      </c>
      <c r="C234" s="2" t="s">
        <v>353</v>
      </c>
      <c r="D234" s="3" t="s">
        <v>2091</v>
      </c>
      <c r="E234" t="s">
        <v>84</v>
      </c>
      <c r="F234" s="5">
        <v>94</v>
      </c>
      <c r="G234" s="5">
        <v>158</v>
      </c>
      <c r="H234" s="5">
        <v>161</v>
      </c>
      <c r="I234" s="440"/>
      <c r="L234" s="7"/>
    </row>
    <row r="235" spans="1:12" x14ac:dyDescent="0.25">
      <c r="A235" t="s">
        <v>352</v>
      </c>
      <c r="B235" t="s">
        <v>2567</v>
      </c>
      <c r="C235" s="2" t="s">
        <v>353</v>
      </c>
      <c r="D235" s="3" t="s">
        <v>1642</v>
      </c>
      <c r="E235" t="s">
        <v>84</v>
      </c>
      <c r="F235" s="2" t="str">
        <f t="shared" ref="F235:F240" si="39">LEFT(D235,FIND(",",D235)-1)</f>
        <v>95</v>
      </c>
      <c r="G235" s="2" t="str">
        <f t="shared" ref="G235:G240" si="40">MID(D235,FIND(",",D235)+1,FIND(",",D235,FIND(",",D235)+1)-FIND(",",D235)-1)</f>
        <v xml:space="preserve"> 158</v>
      </c>
      <c r="H235" s="2" t="str">
        <f t="shared" ref="H235:H240" si="41">RIGHT(D235,LEN(D235)-FIND(",",D235,FIND(",",D235)+1))</f>
        <v xml:space="preserve"> 160</v>
      </c>
      <c r="I235" s="52"/>
    </row>
    <row r="236" spans="1:12" x14ac:dyDescent="0.25">
      <c r="A236" t="s">
        <v>72</v>
      </c>
      <c r="B236" t="s">
        <v>2567</v>
      </c>
      <c r="C236" s="2" t="s">
        <v>353</v>
      </c>
      <c r="D236" s="3" t="s">
        <v>2294</v>
      </c>
      <c r="E236" t="s">
        <v>84</v>
      </c>
      <c r="F236" s="2" t="str">
        <f t="shared" si="39"/>
        <v>95</v>
      </c>
      <c r="G236" s="2" t="str">
        <f t="shared" si="40"/>
        <v>158</v>
      </c>
      <c r="H236" s="2" t="str">
        <f t="shared" si="41"/>
        <v>160</v>
      </c>
      <c r="I236" s="52"/>
    </row>
    <row r="237" spans="1:12" x14ac:dyDescent="0.25">
      <c r="A237" t="s">
        <v>352</v>
      </c>
      <c r="B237" t="s">
        <v>2567</v>
      </c>
      <c r="C237" s="2" t="s">
        <v>353</v>
      </c>
      <c r="D237" s="3" t="s">
        <v>2294</v>
      </c>
      <c r="E237" t="s">
        <v>84</v>
      </c>
      <c r="F237" s="2" t="str">
        <f t="shared" si="39"/>
        <v>95</v>
      </c>
      <c r="G237" s="2" t="str">
        <f t="shared" si="40"/>
        <v>158</v>
      </c>
      <c r="H237" s="2" t="str">
        <f t="shared" si="41"/>
        <v>160</v>
      </c>
      <c r="I237" s="52"/>
    </row>
    <row r="238" spans="1:12" x14ac:dyDescent="0.25">
      <c r="A238" t="s">
        <v>352</v>
      </c>
      <c r="B238" t="s">
        <v>2567</v>
      </c>
      <c r="C238" s="2" t="s">
        <v>353</v>
      </c>
      <c r="D238" s="3" t="s">
        <v>2294</v>
      </c>
      <c r="E238" t="s">
        <v>84</v>
      </c>
      <c r="F238" s="2" t="str">
        <f t="shared" si="39"/>
        <v>95</v>
      </c>
      <c r="G238" s="2" t="str">
        <f t="shared" si="40"/>
        <v>158</v>
      </c>
      <c r="H238" s="2" t="str">
        <f t="shared" si="41"/>
        <v>160</v>
      </c>
      <c r="I238" s="52"/>
    </row>
    <row r="239" spans="1:12" x14ac:dyDescent="0.25">
      <c r="A239" t="s">
        <v>350</v>
      </c>
      <c r="B239" t="s">
        <v>2567</v>
      </c>
      <c r="C239" s="2" t="s">
        <v>351</v>
      </c>
      <c r="D239" s="3" t="s">
        <v>2407</v>
      </c>
      <c r="E239" t="s">
        <v>84</v>
      </c>
      <c r="F239" s="2" t="str">
        <f t="shared" si="39"/>
        <v>95</v>
      </c>
      <c r="G239" s="2" t="str">
        <f t="shared" si="40"/>
        <v>159</v>
      </c>
      <c r="H239" s="2" t="str">
        <f t="shared" si="41"/>
        <v>159</v>
      </c>
      <c r="I239" s="771"/>
    </row>
    <row r="240" spans="1:12" x14ac:dyDescent="0.25">
      <c r="A240" t="s">
        <v>416</v>
      </c>
      <c r="B240" t="s">
        <v>2567</v>
      </c>
      <c r="C240" s="2" t="s">
        <v>417</v>
      </c>
      <c r="D240" s="3" t="s">
        <v>2425</v>
      </c>
      <c r="E240" t="s">
        <v>84</v>
      </c>
      <c r="F240" s="2" t="str">
        <f t="shared" si="39"/>
        <v>96</v>
      </c>
      <c r="G240" s="2" t="str">
        <f t="shared" si="40"/>
        <v>123</v>
      </c>
      <c r="H240" s="2" t="str">
        <f t="shared" si="41"/>
        <v>139</v>
      </c>
      <c r="I240" s="699"/>
    </row>
    <row r="241" spans="1:12" x14ac:dyDescent="0.25">
      <c r="A241" t="s">
        <v>1425</v>
      </c>
      <c r="B241" t="s">
        <v>2567</v>
      </c>
      <c r="C241" s="2" t="s">
        <v>365</v>
      </c>
      <c r="D241" s="3" t="s">
        <v>2152</v>
      </c>
      <c r="E241" t="s">
        <v>84</v>
      </c>
      <c r="F241" s="5">
        <v>99</v>
      </c>
      <c r="G241" s="5">
        <v>148</v>
      </c>
      <c r="H241" s="5">
        <v>237</v>
      </c>
      <c r="I241" s="447"/>
      <c r="L241" s="7"/>
    </row>
    <row r="242" spans="1:12" x14ac:dyDescent="0.25">
      <c r="A242" t="s">
        <v>485</v>
      </c>
      <c r="B242" t="s">
        <v>2567</v>
      </c>
      <c r="C242" s="2" t="s">
        <v>486</v>
      </c>
      <c r="D242" s="3" t="s">
        <v>2445</v>
      </c>
      <c r="E242" t="s">
        <v>84</v>
      </c>
      <c r="F242" s="2" t="str">
        <f>LEFT(D242,FIND(",",D242)-1)</f>
        <v>99</v>
      </c>
      <c r="G242" s="2" t="str">
        <f>MID(D242,FIND(",",D242)+1,FIND(",",D242,FIND(",",D242)+1)-FIND(",",D242)-1)</f>
        <v>184</v>
      </c>
      <c r="H242" s="2" t="str">
        <f>RIGHT(D242,LEN(D242)-FIND(",",D242,FIND(",",D242)+1))</f>
        <v>255</v>
      </c>
      <c r="I242" s="470"/>
    </row>
    <row r="243" spans="1:12" x14ac:dyDescent="0.25">
      <c r="A243" t="s">
        <v>345</v>
      </c>
      <c r="B243" t="s">
        <v>2567</v>
      </c>
      <c r="E243" t="s">
        <v>84</v>
      </c>
      <c r="I243" s="18"/>
    </row>
    <row r="244" spans="1:12" x14ac:dyDescent="0.25">
      <c r="A244" t="s">
        <v>1438</v>
      </c>
      <c r="B244" t="s">
        <v>2567</v>
      </c>
      <c r="C244" s="2">
        <v>654321</v>
      </c>
      <c r="D244" s="3" t="s">
        <v>2166</v>
      </c>
      <c r="E244" t="s">
        <v>18</v>
      </c>
      <c r="F244" s="5">
        <v>102</v>
      </c>
      <c r="G244" s="5">
        <v>66</v>
      </c>
      <c r="H244" s="5">
        <v>33</v>
      </c>
      <c r="I244" s="749"/>
      <c r="L244" s="7"/>
    </row>
    <row r="245" spans="1:12" x14ac:dyDescent="0.25">
      <c r="A245" t="s">
        <v>1976</v>
      </c>
      <c r="B245" t="s">
        <v>2567</v>
      </c>
      <c r="C245" s="2" t="s">
        <v>639</v>
      </c>
      <c r="D245" s="3" t="s">
        <v>1807</v>
      </c>
      <c r="E245" t="s">
        <v>18</v>
      </c>
      <c r="F245" s="2" t="str">
        <f>LEFT(D245,FIND(",",D245)-1)</f>
        <v>107</v>
      </c>
      <c r="G245" s="2" t="str">
        <f>MID(D245,FIND(",",D245)+1,FIND(",",D245,FIND(",",D245)+1)-FIND(",",D245)-1)</f>
        <v>66</v>
      </c>
      <c r="H245" s="2" t="str">
        <f>RIGHT(D245,LEN(D245)-FIND(",",D245,FIND(",",D245)+1))</f>
        <v>38</v>
      </c>
      <c r="I245" s="398"/>
    </row>
    <row r="246" spans="1:12" x14ac:dyDescent="0.25">
      <c r="A246" t="s">
        <v>1412</v>
      </c>
      <c r="B246" t="s">
        <v>2567</v>
      </c>
      <c r="C246" s="2" t="s">
        <v>2605</v>
      </c>
      <c r="D246" s="3" t="s">
        <v>2140</v>
      </c>
      <c r="E246" t="s">
        <v>18</v>
      </c>
      <c r="F246" s="5">
        <v>112</v>
      </c>
      <c r="G246" s="5">
        <v>79</v>
      </c>
      <c r="H246" s="5">
        <v>56</v>
      </c>
      <c r="I246" s="688"/>
      <c r="L246" s="7"/>
    </row>
    <row r="247" spans="1:12" x14ac:dyDescent="0.25">
      <c r="A247" t="s">
        <v>1349</v>
      </c>
      <c r="B247" t="s">
        <v>2567</v>
      </c>
      <c r="C247" s="2" t="s">
        <v>2606</v>
      </c>
      <c r="D247" s="3" t="s">
        <v>2072</v>
      </c>
      <c r="E247" t="s">
        <v>18</v>
      </c>
      <c r="F247" s="5">
        <v>120</v>
      </c>
      <c r="G247" s="5">
        <v>69</v>
      </c>
      <c r="H247" s="5">
        <v>59</v>
      </c>
      <c r="I247" s="358"/>
      <c r="L247" s="7"/>
    </row>
    <row r="248" spans="1:12" x14ac:dyDescent="0.25">
      <c r="A248" t="s">
        <v>1993</v>
      </c>
      <c r="B248" t="s">
        <v>2567</v>
      </c>
      <c r="C248" s="2" t="s">
        <v>2607</v>
      </c>
      <c r="D248" s="3" t="s">
        <v>2132</v>
      </c>
      <c r="E248" t="s">
        <v>18</v>
      </c>
      <c r="F248" s="5">
        <v>122</v>
      </c>
      <c r="G248" s="5">
        <v>64</v>
      </c>
      <c r="H248" s="5">
        <v>0</v>
      </c>
      <c r="I248" s="746"/>
      <c r="L248" s="7"/>
    </row>
    <row r="249" spans="1:12" x14ac:dyDescent="0.25">
      <c r="A249" t="s">
        <v>1470</v>
      </c>
      <c r="B249" t="s">
        <v>2567</v>
      </c>
      <c r="C249" s="2" t="s">
        <v>2608</v>
      </c>
      <c r="D249" s="3" t="s">
        <v>2197</v>
      </c>
      <c r="E249" t="s">
        <v>18</v>
      </c>
      <c r="F249" s="5">
        <v>125</v>
      </c>
      <c r="G249" s="5">
        <v>94</v>
      </c>
      <c r="H249" s="5">
        <v>97</v>
      </c>
      <c r="I249" s="753"/>
      <c r="L249" s="7"/>
    </row>
    <row r="250" spans="1:12" x14ac:dyDescent="0.25">
      <c r="A250" t="s">
        <v>10</v>
      </c>
      <c r="B250" t="s">
        <v>2567</v>
      </c>
      <c r="C250" s="2">
        <v>800000</v>
      </c>
      <c r="D250" s="3" t="s">
        <v>1674</v>
      </c>
      <c r="E250" t="s">
        <v>18</v>
      </c>
      <c r="F250" s="2" t="str">
        <f>LEFT(D250,FIND(",",D250)-1)</f>
        <v>128</v>
      </c>
      <c r="G250" s="2" t="str">
        <f>MID(D250,FIND(",",D250)+1,FIND(",",D250,FIND(",",D250)+1)-FIND(",",D250)-1)</f>
        <v xml:space="preserve"> 0</v>
      </c>
      <c r="H250" s="2" t="str">
        <f>RIGHT(D250,LEN(D250)-FIND(",",D250,FIND(",",D250)+1))</f>
        <v xml:space="preserve"> 0</v>
      </c>
      <c r="I250" s="9"/>
    </row>
    <row r="251" spans="1:12" x14ac:dyDescent="0.25">
      <c r="A251" t="s">
        <v>1429</v>
      </c>
      <c r="B251" t="s">
        <v>2567</v>
      </c>
      <c r="C251" s="2" t="s">
        <v>2609</v>
      </c>
      <c r="D251" s="3" t="s">
        <v>2156</v>
      </c>
      <c r="E251" t="s">
        <v>18</v>
      </c>
      <c r="F251" s="5">
        <v>130</v>
      </c>
      <c r="G251" s="5">
        <v>97</v>
      </c>
      <c r="H251" s="5">
        <v>61</v>
      </c>
      <c r="I251" s="626"/>
      <c r="L251" s="7"/>
    </row>
    <row r="252" spans="1:12" x14ac:dyDescent="0.25">
      <c r="A252" t="s">
        <v>1511</v>
      </c>
      <c r="B252" t="s">
        <v>2567</v>
      </c>
      <c r="C252" s="2" t="s">
        <v>2610</v>
      </c>
      <c r="D252" s="3" t="s">
        <v>2234</v>
      </c>
      <c r="E252" t="s">
        <v>18</v>
      </c>
      <c r="F252" s="5">
        <v>133</v>
      </c>
      <c r="G252" s="5">
        <v>110</v>
      </c>
      <c r="H252" s="5">
        <v>77</v>
      </c>
      <c r="I252" s="456"/>
      <c r="L252" s="7"/>
    </row>
    <row r="253" spans="1:12" x14ac:dyDescent="0.25">
      <c r="A253" t="s">
        <v>633</v>
      </c>
      <c r="B253" t="s">
        <v>2567</v>
      </c>
      <c r="C253" s="2">
        <v>8.5500000000000004E+44</v>
      </c>
      <c r="D253" s="3" t="s">
        <v>1805</v>
      </c>
      <c r="E253" t="s">
        <v>18</v>
      </c>
      <c r="F253" s="2" t="str">
        <f>LEFT(D253,FIND(",",D253)-1)</f>
        <v>133</v>
      </c>
      <c r="G253" s="2" t="str">
        <f>MID(D253,FIND(",",D253)+1,FIND(",",D253,FIND(",",D253)+1)-FIND(",",D253)-1)</f>
        <v>94</v>
      </c>
      <c r="H253" s="2" t="str">
        <f>RIGHT(D253,LEN(D253)-FIND(",",D253,FIND(",",D253)+1))</f>
        <v>66</v>
      </c>
      <c r="I253" s="710"/>
    </row>
    <row r="254" spans="1:12" x14ac:dyDescent="0.25">
      <c r="A254" t="s">
        <v>634</v>
      </c>
      <c r="B254" t="s">
        <v>2567</v>
      </c>
      <c r="C254" s="2">
        <v>856363</v>
      </c>
      <c r="D254" s="3" t="s">
        <v>1806</v>
      </c>
      <c r="E254" t="s">
        <v>18</v>
      </c>
      <c r="F254" s="2" t="str">
        <f>LEFT(D254,FIND(",",D254)-1)</f>
        <v>133</v>
      </c>
      <c r="G254" s="2" t="str">
        <f>MID(D254,FIND(",",D254)+1,FIND(",",D254,FIND(",",D254)+1)-FIND(",",D254)-1)</f>
        <v>99</v>
      </c>
      <c r="H254" s="2" t="str">
        <f>RIGHT(D254,LEN(D254)-FIND(",",D254,FIND(",",D254)+1))</f>
        <v>99</v>
      </c>
      <c r="I254" s="731"/>
    </row>
    <row r="255" spans="1:12" x14ac:dyDescent="0.25">
      <c r="A255" t="s">
        <v>1524</v>
      </c>
      <c r="B255" t="s">
        <v>2567</v>
      </c>
      <c r="C255" s="2" t="s">
        <v>2611</v>
      </c>
      <c r="D255" s="3" t="s">
        <v>2247</v>
      </c>
      <c r="E255" t="s">
        <v>18</v>
      </c>
      <c r="F255" s="5">
        <v>135</v>
      </c>
      <c r="G255" s="5">
        <v>66</v>
      </c>
      <c r="H255" s="5">
        <v>31</v>
      </c>
      <c r="I255" s="821"/>
      <c r="L255" s="7"/>
    </row>
    <row r="256" spans="1:12" x14ac:dyDescent="0.25">
      <c r="A256" t="s">
        <v>1364</v>
      </c>
      <c r="B256" t="s">
        <v>2567</v>
      </c>
      <c r="C256" s="2" t="s">
        <v>2612</v>
      </c>
      <c r="D256" s="3" t="s">
        <v>2088</v>
      </c>
      <c r="E256" t="s">
        <v>18</v>
      </c>
      <c r="F256" s="5">
        <v>138</v>
      </c>
      <c r="G256" s="5">
        <v>51</v>
      </c>
      <c r="H256" s="5">
        <v>36</v>
      </c>
      <c r="I256" s="741"/>
      <c r="L256" s="7"/>
    </row>
    <row r="257" spans="1:12" x14ac:dyDescent="0.25">
      <c r="A257" t="s">
        <v>585</v>
      </c>
      <c r="B257" t="s">
        <v>2567</v>
      </c>
      <c r="C257" s="2" t="s">
        <v>586</v>
      </c>
      <c r="D257" s="3" t="s">
        <v>1671</v>
      </c>
      <c r="E257" t="s">
        <v>18</v>
      </c>
      <c r="F257" s="2" t="str">
        <f t="shared" ref="F257:F265" si="42">LEFT(D257,FIND(",",D257)-1)</f>
        <v>139</v>
      </c>
      <c r="G257" s="2" t="str">
        <f t="shared" ref="G257:G265" si="43">MID(D257,FIND(",",D257)+1,FIND(",",D257,FIND(",",D257)+1)-FIND(",",D257)-1)</f>
        <v xml:space="preserve"> 69</v>
      </c>
      <c r="H257" s="2" t="str">
        <f t="shared" ref="H257:H265" si="44">RIGHT(D257,LEN(D257)-FIND(",",D257,FIND(",",D257)+1))</f>
        <v xml:space="preserve"> 19</v>
      </c>
      <c r="I257" s="32"/>
    </row>
    <row r="258" spans="1:12" x14ac:dyDescent="0.25">
      <c r="A258" t="s">
        <v>583</v>
      </c>
      <c r="B258" t="s">
        <v>2567</v>
      </c>
      <c r="C258" s="2" t="s">
        <v>584</v>
      </c>
      <c r="D258" s="3" t="s">
        <v>2469</v>
      </c>
      <c r="E258" t="s">
        <v>18</v>
      </c>
      <c r="F258" s="2" t="str">
        <f t="shared" si="42"/>
        <v>139</v>
      </c>
      <c r="G258" s="2" t="str">
        <f t="shared" si="43"/>
        <v>105</v>
      </c>
      <c r="H258" s="2" t="str">
        <f t="shared" si="44"/>
        <v>105</v>
      </c>
      <c r="I258" s="250"/>
    </row>
    <row r="259" spans="1:12" x14ac:dyDescent="0.25">
      <c r="A259" t="s">
        <v>610</v>
      </c>
      <c r="B259" t="s">
        <v>2567</v>
      </c>
      <c r="C259" s="2" t="s">
        <v>611</v>
      </c>
      <c r="D259" s="3" t="s">
        <v>1794</v>
      </c>
      <c r="E259" t="s">
        <v>18</v>
      </c>
      <c r="F259" s="2" t="str">
        <f t="shared" si="42"/>
        <v>139</v>
      </c>
      <c r="G259" s="2" t="str">
        <f t="shared" si="43"/>
        <v>115</v>
      </c>
      <c r="H259" s="2" t="str">
        <f t="shared" si="44"/>
        <v>85</v>
      </c>
      <c r="I259" s="591"/>
    </row>
    <row r="260" spans="1:12" x14ac:dyDescent="0.25">
      <c r="A260" t="s">
        <v>598</v>
      </c>
      <c r="B260" t="s">
        <v>2567</v>
      </c>
      <c r="C260" s="2" t="s">
        <v>599</v>
      </c>
      <c r="D260" s="3" t="s">
        <v>1792</v>
      </c>
      <c r="E260" t="s">
        <v>18</v>
      </c>
      <c r="F260" s="2" t="str">
        <f t="shared" si="42"/>
        <v>139</v>
      </c>
      <c r="G260" s="2" t="str">
        <f t="shared" si="43"/>
        <v>35</v>
      </c>
      <c r="H260" s="2" t="str">
        <f t="shared" si="44"/>
        <v>35</v>
      </c>
      <c r="I260" s="779"/>
    </row>
    <row r="261" spans="1:12" x14ac:dyDescent="0.25">
      <c r="A261" t="s">
        <v>117</v>
      </c>
      <c r="B261" t="s">
        <v>2567</v>
      </c>
      <c r="C261" s="2" t="s">
        <v>586</v>
      </c>
      <c r="D261" s="3" t="s">
        <v>1785</v>
      </c>
      <c r="E261" t="s">
        <v>18</v>
      </c>
      <c r="F261" s="2" t="str">
        <f t="shared" si="42"/>
        <v>139</v>
      </c>
      <c r="G261" s="2" t="str">
        <f t="shared" si="43"/>
        <v>69</v>
      </c>
      <c r="H261" s="2" t="str">
        <f t="shared" si="44"/>
        <v>19</v>
      </c>
      <c r="I261" s="32"/>
    </row>
    <row r="262" spans="1:12" x14ac:dyDescent="0.25">
      <c r="A262" t="s">
        <v>585</v>
      </c>
      <c r="B262" t="s">
        <v>2567</v>
      </c>
      <c r="C262" s="2" t="s">
        <v>586</v>
      </c>
      <c r="D262" s="3" t="s">
        <v>1785</v>
      </c>
      <c r="E262" t="s">
        <v>18</v>
      </c>
      <c r="F262" s="2" t="str">
        <f t="shared" si="42"/>
        <v>139</v>
      </c>
      <c r="G262" s="2" t="str">
        <f t="shared" si="43"/>
        <v>69</v>
      </c>
      <c r="H262" s="2" t="str">
        <f t="shared" si="44"/>
        <v>19</v>
      </c>
      <c r="I262" s="32"/>
    </row>
    <row r="263" spans="1:12" x14ac:dyDescent="0.25">
      <c r="A263" t="s">
        <v>621</v>
      </c>
      <c r="B263" t="s">
        <v>2567</v>
      </c>
      <c r="C263" s="2" t="s">
        <v>586</v>
      </c>
      <c r="D263" s="3" t="s">
        <v>1785</v>
      </c>
      <c r="E263" t="s">
        <v>18</v>
      </c>
      <c r="F263" s="2" t="str">
        <f t="shared" si="42"/>
        <v>139</v>
      </c>
      <c r="G263" s="2" t="str">
        <f t="shared" si="43"/>
        <v>69</v>
      </c>
      <c r="H263" s="2" t="str">
        <f t="shared" si="44"/>
        <v>19</v>
      </c>
      <c r="I263" s="32"/>
    </row>
    <row r="264" spans="1:12" x14ac:dyDescent="0.25">
      <c r="A264" t="s">
        <v>629</v>
      </c>
      <c r="B264" t="s">
        <v>2567</v>
      </c>
      <c r="C264" s="2" t="s">
        <v>630</v>
      </c>
      <c r="D264" s="3" t="s">
        <v>1803</v>
      </c>
      <c r="E264" t="s">
        <v>18</v>
      </c>
      <c r="F264" s="2" t="str">
        <f t="shared" si="42"/>
        <v>139</v>
      </c>
      <c r="G264" s="2" t="str">
        <f t="shared" si="43"/>
        <v>90</v>
      </c>
      <c r="H264" s="2" t="str">
        <f t="shared" si="44"/>
        <v>43</v>
      </c>
      <c r="I264" s="67"/>
    </row>
    <row r="265" spans="1:12" x14ac:dyDescent="0.25">
      <c r="A265" t="s">
        <v>640</v>
      </c>
      <c r="B265" t="s">
        <v>2567</v>
      </c>
      <c r="C265" s="2" t="s">
        <v>641</v>
      </c>
      <c r="D265" s="3" t="s">
        <v>1808</v>
      </c>
      <c r="E265" t="s">
        <v>18</v>
      </c>
      <c r="F265" s="2" t="str">
        <f t="shared" si="42"/>
        <v>142</v>
      </c>
      <c r="G265" s="2" t="str">
        <f t="shared" si="43"/>
        <v>107</v>
      </c>
      <c r="H265" s="2" t="str">
        <f t="shared" si="44"/>
        <v>35</v>
      </c>
      <c r="I265" s="477"/>
    </row>
    <row r="266" spans="1:12" x14ac:dyDescent="0.25">
      <c r="A266" t="s">
        <v>1400</v>
      </c>
      <c r="B266" t="s">
        <v>2567</v>
      </c>
      <c r="C266" s="2">
        <v>954535</v>
      </c>
      <c r="D266" s="3" t="s">
        <v>2126</v>
      </c>
      <c r="E266" t="s">
        <v>18</v>
      </c>
      <c r="F266" s="5">
        <v>148</v>
      </c>
      <c r="G266" s="5">
        <v>69</v>
      </c>
      <c r="H266" s="5">
        <v>54</v>
      </c>
      <c r="I266" s="364"/>
      <c r="L266" s="7"/>
    </row>
    <row r="267" spans="1:12" x14ac:dyDescent="0.25">
      <c r="A267" t="s">
        <v>1333</v>
      </c>
      <c r="B267" t="s">
        <v>2567</v>
      </c>
      <c r="C267" s="2">
        <v>967117</v>
      </c>
      <c r="D267" s="3" t="s">
        <v>2048</v>
      </c>
      <c r="E267" t="s">
        <v>18</v>
      </c>
      <c r="F267" s="5">
        <v>150</v>
      </c>
      <c r="G267" s="5">
        <v>112</v>
      </c>
      <c r="H267" s="5">
        <v>23</v>
      </c>
      <c r="I267" s="292"/>
      <c r="L267" s="7"/>
    </row>
    <row r="268" spans="1:12" x14ac:dyDescent="0.25">
      <c r="A268" t="s">
        <v>631</v>
      </c>
      <c r="B268" t="s">
        <v>2567</v>
      </c>
      <c r="C268" s="2" t="s">
        <v>632</v>
      </c>
      <c r="D268" s="3" t="s">
        <v>1804</v>
      </c>
      <c r="E268" t="s">
        <v>18</v>
      </c>
      <c r="F268" s="2" t="str">
        <f>LEFT(D268,FIND(",",D268)-1)</f>
        <v>151</v>
      </c>
      <c r="G268" s="2" t="str">
        <f>MID(D268,FIND(",",D268)+1,FIND(",",D268,FIND(",",D268)+1)-FIND(",",D268)-1)</f>
        <v>105</v>
      </c>
      <c r="H268" s="2" t="str">
        <f>RIGHT(D268,LEN(D268)-FIND(",",D268,FIND(",",D268)+1))</f>
        <v>79</v>
      </c>
      <c r="I268" s="650"/>
    </row>
    <row r="269" spans="1:12" x14ac:dyDescent="0.25">
      <c r="A269" t="s">
        <v>1419</v>
      </c>
      <c r="B269" t="s">
        <v>2567</v>
      </c>
      <c r="C269" s="2">
        <v>996666</v>
      </c>
      <c r="D269" s="3" t="s">
        <v>2147</v>
      </c>
      <c r="E269" t="s">
        <v>18</v>
      </c>
      <c r="F269" s="5">
        <v>153</v>
      </c>
      <c r="G269" s="5">
        <v>102</v>
      </c>
      <c r="H269" s="5">
        <v>102</v>
      </c>
      <c r="I269" s="625"/>
      <c r="L269" s="7"/>
    </row>
    <row r="270" spans="1:12" x14ac:dyDescent="0.25">
      <c r="A270" t="s">
        <v>1406</v>
      </c>
      <c r="B270" t="s">
        <v>2567</v>
      </c>
      <c r="C270" s="2" t="s">
        <v>2613</v>
      </c>
      <c r="D270" s="3" t="s">
        <v>2134</v>
      </c>
      <c r="E270" t="s">
        <v>18</v>
      </c>
      <c r="F270" s="5">
        <v>153</v>
      </c>
      <c r="G270" s="5">
        <v>130</v>
      </c>
      <c r="H270" s="5">
        <v>122</v>
      </c>
      <c r="I270" s="812"/>
      <c r="L270" s="7"/>
    </row>
    <row r="271" spans="1:12" x14ac:dyDescent="0.25">
      <c r="A271" t="s">
        <v>1327</v>
      </c>
      <c r="B271" t="s">
        <v>2567</v>
      </c>
      <c r="C271" s="2" t="s">
        <v>2614</v>
      </c>
      <c r="D271" s="3" t="s">
        <v>2042</v>
      </c>
      <c r="E271" t="s">
        <v>18</v>
      </c>
      <c r="F271" s="5">
        <v>158</v>
      </c>
      <c r="G271" s="5">
        <v>130</v>
      </c>
      <c r="H271" s="5">
        <v>112</v>
      </c>
      <c r="I271" s="615"/>
      <c r="L271" s="7"/>
    </row>
    <row r="272" spans="1:12" x14ac:dyDescent="0.25">
      <c r="A272" t="s">
        <v>640</v>
      </c>
      <c r="B272" t="s">
        <v>2567</v>
      </c>
      <c r="C272" s="2" t="s">
        <v>846</v>
      </c>
      <c r="D272" s="3" t="s">
        <v>1672</v>
      </c>
      <c r="E272" t="s">
        <v>18</v>
      </c>
      <c r="F272" s="2" t="str">
        <f>LEFT(D272,FIND(",",D272)-1)</f>
        <v>160</v>
      </c>
      <c r="G272" s="2" t="str">
        <f>MID(D272,FIND(",",D272)+1,FIND(",",D272,FIND(",",D272)+1)-FIND(",",D272)-1)</f>
        <v xml:space="preserve"> 82</v>
      </c>
      <c r="H272" s="2" t="str">
        <f>RIGHT(D272,LEN(D272)-FIND(",",D272,FIND(",",D272)+1))</f>
        <v xml:space="preserve"> 45</v>
      </c>
      <c r="I272" s="461"/>
    </row>
    <row r="273" spans="1:12" x14ac:dyDescent="0.25">
      <c r="A273" t="s">
        <v>118</v>
      </c>
      <c r="B273" t="s">
        <v>2567</v>
      </c>
      <c r="C273" s="2" t="s">
        <v>846</v>
      </c>
      <c r="D273" s="3" t="s">
        <v>1865</v>
      </c>
      <c r="E273" t="s">
        <v>18</v>
      </c>
      <c r="F273" s="2" t="str">
        <f>LEFT(D273,FIND(",",D273)-1)</f>
        <v>160</v>
      </c>
      <c r="G273" s="2" t="str">
        <f>MID(D273,FIND(",",D273)+1,FIND(",",D273,FIND(",",D273)+1)-FIND(",",D273)-1)</f>
        <v>82</v>
      </c>
      <c r="H273" s="2" t="str">
        <f>RIGHT(D273,LEN(D273)-FIND(",",D273,FIND(",",D273)+1))</f>
        <v>45</v>
      </c>
      <c r="I273" s="461"/>
    </row>
    <row r="274" spans="1:12" x14ac:dyDescent="0.25">
      <c r="A274" t="s">
        <v>1361</v>
      </c>
      <c r="B274" t="s">
        <v>2567</v>
      </c>
      <c r="C274" s="2" t="s">
        <v>2615</v>
      </c>
      <c r="D274" s="3" t="s">
        <v>2085</v>
      </c>
      <c r="E274" t="s">
        <v>18</v>
      </c>
      <c r="F274" s="5">
        <v>161</v>
      </c>
      <c r="G274" s="5">
        <v>122</v>
      </c>
      <c r="H274" s="5">
        <v>115</v>
      </c>
      <c r="I274" s="619"/>
      <c r="L274" s="7"/>
    </row>
    <row r="275" spans="1:12" x14ac:dyDescent="0.25">
      <c r="A275" t="s">
        <v>1551</v>
      </c>
      <c r="B275" t="s">
        <v>2567</v>
      </c>
      <c r="C275" s="2" t="s">
        <v>590</v>
      </c>
      <c r="D275" s="3" t="s">
        <v>1673</v>
      </c>
      <c r="E275" t="s">
        <v>18</v>
      </c>
      <c r="F275" s="2" t="str">
        <f>LEFT(D275,FIND(",",D275)-1)</f>
        <v>165</v>
      </c>
      <c r="G275" s="2" t="str">
        <f>MID(D275,FIND(",",D275)+1,FIND(",",D275,FIND(",",D275)+1)-FIND(",",D275)-1)</f>
        <v xml:space="preserve"> 42</v>
      </c>
      <c r="H275" s="2" t="str">
        <f>RIGHT(D275,LEN(D275)-FIND(",",D275,FIND(",",D275)+1))</f>
        <v xml:space="preserve"> 42</v>
      </c>
      <c r="I275" s="210"/>
    </row>
    <row r="276" spans="1:12" x14ac:dyDescent="0.25">
      <c r="A276" t="s">
        <v>18</v>
      </c>
      <c r="B276" t="s">
        <v>2567</v>
      </c>
      <c r="C276" s="2" t="s">
        <v>590</v>
      </c>
      <c r="D276" s="3" t="s">
        <v>1787</v>
      </c>
      <c r="E276" t="s">
        <v>18</v>
      </c>
      <c r="F276" s="2" t="str">
        <f>LEFT(D276,FIND(",",D276)-1)</f>
        <v>165</v>
      </c>
      <c r="G276" s="2" t="str">
        <f>MID(D276,FIND(",",D276)+1,FIND(",",D276,FIND(",",D276)+1)-FIND(",",D276)-1)</f>
        <v>42</v>
      </c>
      <c r="H276" s="2" t="str">
        <f>RIGHT(D276,LEN(D276)-FIND(",",D276,FIND(",",D276)+1))</f>
        <v>42</v>
      </c>
      <c r="I276" s="210"/>
    </row>
    <row r="277" spans="1:12" x14ac:dyDescent="0.25">
      <c r="A277" t="s">
        <v>1978</v>
      </c>
      <c r="B277" t="s">
        <v>2567</v>
      </c>
      <c r="C277" s="2" t="s">
        <v>2616</v>
      </c>
      <c r="D277" s="3" t="s">
        <v>2055</v>
      </c>
      <c r="E277" t="s">
        <v>18</v>
      </c>
      <c r="F277" s="5">
        <v>166</v>
      </c>
      <c r="G277" s="5">
        <v>112</v>
      </c>
      <c r="H277" s="5">
        <v>99</v>
      </c>
      <c r="I277" s="293"/>
      <c r="L277" s="7"/>
    </row>
    <row r="278" spans="1:12" x14ac:dyDescent="0.25">
      <c r="A278" t="s">
        <v>1371</v>
      </c>
      <c r="B278" t="s">
        <v>2567</v>
      </c>
      <c r="C278" s="2" t="s">
        <v>2617</v>
      </c>
      <c r="D278" s="3" t="s">
        <v>2095</v>
      </c>
      <c r="E278" t="s">
        <v>18</v>
      </c>
      <c r="F278" s="5">
        <v>166</v>
      </c>
      <c r="G278" s="5">
        <v>122</v>
      </c>
      <c r="H278" s="5">
        <v>92</v>
      </c>
      <c r="I278" s="377"/>
      <c r="L278" s="7"/>
    </row>
    <row r="279" spans="1:12" x14ac:dyDescent="0.25">
      <c r="A279" t="s">
        <v>1510</v>
      </c>
      <c r="B279" t="s">
        <v>2567</v>
      </c>
      <c r="C279" s="2" t="s">
        <v>2617</v>
      </c>
      <c r="D279" s="3" t="s">
        <v>2095</v>
      </c>
      <c r="E279" t="s">
        <v>18</v>
      </c>
      <c r="F279" s="5">
        <v>166</v>
      </c>
      <c r="G279" s="5">
        <v>122</v>
      </c>
      <c r="H279" s="5">
        <v>92</v>
      </c>
      <c r="I279" s="377"/>
      <c r="L279" s="7"/>
    </row>
    <row r="280" spans="1:12" x14ac:dyDescent="0.25">
      <c r="A280" t="s">
        <v>635</v>
      </c>
      <c r="B280" t="s">
        <v>2567</v>
      </c>
      <c r="C280" s="2" t="s">
        <v>636</v>
      </c>
      <c r="D280" s="3" t="s">
        <v>2473</v>
      </c>
      <c r="E280" t="s">
        <v>18</v>
      </c>
      <c r="F280" s="2" t="str">
        <f>LEFT(D280,FIND(",",D280)-1)</f>
        <v>166</v>
      </c>
      <c r="G280" s="2" t="str">
        <f>MID(D280,FIND(",",D280)+1,FIND(",",D280,FIND(",",D280)+1)-FIND(",",D280)-1)</f>
        <v>128</v>
      </c>
      <c r="H280" s="2" t="str">
        <f>RIGHT(D280,LEN(D280)-FIND(",",D280,FIND(",",D280)+1))</f>
        <v>100</v>
      </c>
      <c r="I280" s="328"/>
    </row>
    <row r="281" spans="1:12" x14ac:dyDescent="0.25">
      <c r="A281" t="s">
        <v>18</v>
      </c>
      <c r="B281" t="s">
        <v>2567</v>
      </c>
      <c r="C281" s="2" t="s">
        <v>591</v>
      </c>
      <c r="D281" s="3" t="s">
        <v>1788</v>
      </c>
      <c r="E281" t="s">
        <v>18</v>
      </c>
      <c r="F281" s="2" t="str">
        <f>LEFT(D281,FIND(",",D281)-1)</f>
        <v>166</v>
      </c>
      <c r="G281" s="2" t="str">
        <f>MID(D281,FIND(",",D281)+1,FIND(",",D281,FIND(",",D281)+1)-FIND(",",D281)-1)</f>
        <v>42</v>
      </c>
      <c r="H281" s="2" t="str">
        <f>RIGHT(D281,LEN(D281)-FIND(",",D281,FIND(",",D281)+1))</f>
        <v>42</v>
      </c>
      <c r="I281" s="590"/>
    </row>
    <row r="282" spans="1:12" x14ac:dyDescent="0.25">
      <c r="A282" t="s">
        <v>1417</v>
      </c>
      <c r="B282" t="s">
        <v>2567</v>
      </c>
      <c r="C282" s="2" t="s">
        <v>2618</v>
      </c>
      <c r="D282" s="3" t="s">
        <v>2145</v>
      </c>
      <c r="E282" t="s">
        <v>18</v>
      </c>
      <c r="F282" s="5">
        <v>173</v>
      </c>
      <c r="G282" s="5">
        <v>112</v>
      </c>
      <c r="H282" s="5">
        <v>105</v>
      </c>
      <c r="I282" s="518"/>
      <c r="L282" s="7"/>
    </row>
    <row r="283" spans="1:12" x14ac:dyDescent="0.25">
      <c r="A283" t="s">
        <v>1356</v>
      </c>
      <c r="B283" t="s">
        <v>2567</v>
      </c>
      <c r="C283" s="2" t="s">
        <v>2619</v>
      </c>
      <c r="D283" s="3" t="s">
        <v>2080</v>
      </c>
      <c r="E283" t="s">
        <v>18</v>
      </c>
      <c r="F283" s="5">
        <v>176</v>
      </c>
      <c r="G283" s="5">
        <v>110</v>
      </c>
      <c r="H283" s="5">
        <v>77</v>
      </c>
      <c r="I283" s="807"/>
      <c r="L283" s="7"/>
    </row>
    <row r="284" spans="1:12" x14ac:dyDescent="0.25">
      <c r="A284" t="s">
        <v>1180</v>
      </c>
      <c r="B284" t="s">
        <v>2567</v>
      </c>
      <c r="C284" s="2" t="s">
        <v>1181</v>
      </c>
      <c r="D284" s="3" t="s">
        <v>1668</v>
      </c>
      <c r="E284" t="s">
        <v>18</v>
      </c>
      <c r="F284" s="2" t="str">
        <f>LEFT(D284,FIND(",",D284)-1)</f>
        <v>184</v>
      </c>
      <c r="G284" s="2" t="str">
        <f>MID(D284,FIND(",",D284)+1,FIND(",",D284,FIND(",",D284)+1)-FIND(",",D284)-1)</f>
        <v xml:space="preserve"> 134</v>
      </c>
      <c r="H284" s="2" t="str">
        <f>RIGHT(D284,LEN(D284)-FIND(",",D284,FIND(",",D284)+1))</f>
        <v xml:space="preserve"> 11</v>
      </c>
      <c r="I284" s="181"/>
    </row>
    <row r="285" spans="1:12" x14ac:dyDescent="0.25">
      <c r="A285" t="s">
        <v>33</v>
      </c>
      <c r="B285" t="s">
        <v>2567</v>
      </c>
      <c r="C285" s="2" t="s">
        <v>1181</v>
      </c>
      <c r="D285" s="3" t="s">
        <v>1947</v>
      </c>
      <c r="E285" t="s">
        <v>18</v>
      </c>
      <c r="F285" s="2" t="str">
        <f>LEFT(D285,FIND(",",D285)-1)</f>
        <v>184</v>
      </c>
      <c r="G285" s="2" t="str">
        <f>MID(D285,FIND(",",D285)+1,FIND(",",D285,FIND(",",D285)+1)-FIND(",",D285)-1)</f>
        <v>134</v>
      </c>
      <c r="H285" s="2" t="str">
        <f>RIGHT(D285,LEN(D285)-FIND(",",D285,FIND(",",D285)+1))</f>
        <v>11</v>
      </c>
      <c r="I285" s="181"/>
    </row>
    <row r="286" spans="1:12" x14ac:dyDescent="0.25">
      <c r="A286" t="s">
        <v>1464</v>
      </c>
      <c r="B286" t="s">
        <v>2567</v>
      </c>
      <c r="C286" s="2" t="s">
        <v>2620</v>
      </c>
      <c r="D286" s="3" t="s">
        <v>2192</v>
      </c>
      <c r="E286" t="s">
        <v>18</v>
      </c>
      <c r="F286" s="5">
        <v>186</v>
      </c>
      <c r="G286" s="5">
        <v>79</v>
      </c>
      <c r="H286" s="5">
        <v>71</v>
      </c>
      <c r="I286" s="371"/>
      <c r="L286" s="7"/>
    </row>
    <row r="287" spans="1:12" x14ac:dyDescent="0.25">
      <c r="A287" t="s">
        <v>575</v>
      </c>
      <c r="B287" t="s">
        <v>2567</v>
      </c>
      <c r="C287" s="2" t="s">
        <v>576</v>
      </c>
      <c r="D287" s="3" t="s">
        <v>1665</v>
      </c>
      <c r="E287" t="s">
        <v>18</v>
      </c>
      <c r="F287" s="2" t="str">
        <f>LEFT(D287,FIND(",",D287)-1)</f>
        <v>188</v>
      </c>
      <c r="G287" s="2" t="str">
        <f>MID(D287,FIND(",",D287)+1,FIND(",",D287,FIND(",",D287)+1)-FIND(",",D287)-1)</f>
        <v xml:space="preserve"> 143</v>
      </c>
      <c r="H287" s="2" t="str">
        <f>RIGHT(D287,LEN(D287)-FIND(",",D287,FIND(",",D287)+1))</f>
        <v xml:space="preserve"> 143</v>
      </c>
      <c r="I287" s="416"/>
    </row>
    <row r="288" spans="1:12" x14ac:dyDescent="0.25">
      <c r="A288" t="s">
        <v>124</v>
      </c>
      <c r="B288" t="s">
        <v>2567</v>
      </c>
      <c r="C288" s="2" t="s">
        <v>576</v>
      </c>
      <c r="D288" s="3" t="s">
        <v>2317</v>
      </c>
      <c r="E288" t="s">
        <v>18</v>
      </c>
      <c r="F288" s="2" t="str">
        <f>LEFT(D288,FIND(",",D288)-1)</f>
        <v>188</v>
      </c>
      <c r="G288" s="2" t="str">
        <f>MID(D288,FIND(",",D288)+1,FIND(",",D288,FIND(",",D288)+1)-FIND(",",D288)-1)</f>
        <v>143</v>
      </c>
      <c r="H288" s="2" t="str">
        <f>RIGHT(D288,LEN(D288)-FIND(",",D288,FIND(",",D288)+1))</f>
        <v>143</v>
      </c>
      <c r="I288" s="416"/>
    </row>
    <row r="289" spans="1:12" x14ac:dyDescent="0.25">
      <c r="A289" t="s">
        <v>575</v>
      </c>
      <c r="B289" t="s">
        <v>2567</v>
      </c>
      <c r="C289" s="2" t="s">
        <v>576</v>
      </c>
      <c r="D289" s="3" t="s">
        <v>2317</v>
      </c>
      <c r="E289" t="s">
        <v>18</v>
      </c>
      <c r="F289" s="2" t="str">
        <f>LEFT(D289,FIND(",",D289)-1)</f>
        <v>188</v>
      </c>
      <c r="G289" s="2" t="str">
        <f>MID(D289,FIND(",",D289)+1,FIND(",",D289,FIND(",",D289)+1)-FIND(",",D289)-1)</f>
        <v>143</v>
      </c>
      <c r="H289" s="2" t="str">
        <f>RIGHT(D289,LEN(D289)-FIND(",",D289,FIND(",",D289)+1))</f>
        <v>143</v>
      </c>
      <c r="I289" s="416"/>
    </row>
    <row r="290" spans="1:12" x14ac:dyDescent="0.25">
      <c r="A290" t="s">
        <v>36</v>
      </c>
      <c r="B290" t="s">
        <v>2567</v>
      </c>
      <c r="C290" s="2" t="s">
        <v>652</v>
      </c>
      <c r="D290" s="3" t="s">
        <v>2280</v>
      </c>
      <c r="E290" t="s">
        <v>18</v>
      </c>
      <c r="F290" s="2" t="str">
        <f>LEFT(D290,FIND(",",D290)-1)</f>
        <v>189</v>
      </c>
      <c r="G290" s="2" t="str">
        <f>MID(D290,FIND(",",D290)+1,FIND(",",D290,FIND(",",D290)+1)-FIND(",",D290)-1)</f>
        <v>183</v>
      </c>
      <c r="H290" s="2" t="str">
        <f>RIGHT(D290,LEN(D290)-FIND(",",D290,FIND(",",D290)+1))</f>
        <v>107</v>
      </c>
      <c r="I290" s="69"/>
    </row>
    <row r="291" spans="1:12" x14ac:dyDescent="0.25">
      <c r="A291" t="s">
        <v>1374</v>
      </c>
      <c r="B291" t="s">
        <v>2567</v>
      </c>
      <c r="C291" s="2" t="s">
        <v>2621</v>
      </c>
      <c r="D291" s="3" t="s">
        <v>2098</v>
      </c>
      <c r="E291" t="s">
        <v>18</v>
      </c>
      <c r="F291" s="5">
        <v>194</v>
      </c>
      <c r="G291" s="5">
        <v>153</v>
      </c>
      <c r="H291" s="5">
        <v>107</v>
      </c>
      <c r="I291" s="375"/>
      <c r="L291" s="7"/>
    </row>
    <row r="292" spans="1:12" x14ac:dyDescent="0.25">
      <c r="A292" t="s">
        <v>1473</v>
      </c>
      <c r="B292" t="s">
        <v>2567</v>
      </c>
      <c r="C292" s="2" t="s">
        <v>2621</v>
      </c>
      <c r="D292" s="3" t="s">
        <v>2098</v>
      </c>
      <c r="E292" t="s">
        <v>18</v>
      </c>
      <c r="F292" s="5">
        <v>194</v>
      </c>
      <c r="G292" s="5">
        <v>153</v>
      </c>
      <c r="H292" s="5">
        <v>107</v>
      </c>
      <c r="I292" s="375"/>
      <c r="L292" s="7"/>
    </row>
    <row r="293" spans="1:12" x14ac:dyDescent="0.25">
      <c r="A293" t="s">
        <v>1496</v>
      </c>
      <c r="B293" t="s">
        <v>2567</v>
      </c>
      <c r="C293" s="2" t="s">
        <v>2621</v>
      </c>
      <c r="D293" s="3" t="s">
        <v>2098</v>
      </c>
      <c r="E293" t="s">
        <v>18</v>
      </c>
      <c r="F293" s="5">
        <v>194</v>
      </c>
      <c r="G293" s="5">
        <v>153</v>
      </c>
      <c r="H293" s="5">
        <v>107</v>
      </c>
      <c r="I293" s="375"/>
      <c r="L293" s="7"/>
    </row>
    <row r="294" spans="1:12" x14ac:dyDescent="0.25">
      <c r="A294" t="s">
        <v>1481</v>
      </c>
      <c r="B294" t="s">
        <v>2567</v>
      </c>
      <c r="C294" s="2" t="s">
        <v>2622</v>
      </c>
      <c r="D294" s="3" t="s">
        <v>2205</v>
      </c>
      <c r="E294" t="s">
        <v>18</v>
      </c>
      <c r="F294" s="5">
        <v>194</v>
      </c>
      <c r="G294" s="5">
        <v>179</v>
      </c>
      <c r="H294" s="5">
        <v>128</v>
      </c>
      <c r="I294" s="452"/>
      <c r="L294" s="7"/>
    </row>
    <row r="295" spans="1:12" x14ac:dyDescent="0.25">
      <c r="A295" t="s">
        <v>1388</v>
      </c>
      <c r="B295" t="s">
        <v>2567</v>
      </c>
      <c r="C295" s="2" t="s">
        <v>2623</v>
      </c>
      <c r="D295" s="3" t="s">
        <v>2112</v>
      </c>
      <c r="E295" t="s">
        <v>18</v>
      </c>
      <c r="F295" s="5">
        <v>201</v>
      </c>
      <c r="G295" s="5">
        <v>89</v>
      </c>
      <c r="H295" s="5">
        <v>74</v>
      </c>
      <c r="I295" s="621"/>
      <c r="L295" s="7"/>
    </row>
    <row r="296" spans="1:12" x14ac:dyDescent="0.25">
      <c r="A296" t="s">
        <v>1418</v>
      </c>
      <c r="B296" t="s">
        <v>2567</v>
      </c>
      <c r="C296" s="2" t="s">
        <v>2624</v>
      </c>
      <c r="D296" s="3" t="s">
        <v>2146</v>
      </c>
      <c r="E296" t="s">
        <v>18</v>
      </c>
      <c r="F296" s="5">
        <v>204</v>
      </c>
      <c r="G296" s="5">
        <v>110</v>
      </c>
      <c r="H296" s="5">
        <v>82</v>
      </c>
      <c r="I296" s="829"/>
      <c r="L296" s="7"/>
    </row>
    <row r="297" spans="1:12" x14ac:dyDescent="0.25">
      <c r="A297" t="s">
        <v>1362</v>
      </c>
      <c r="B297" t="s">
        <v>2567</v>
      </c>
      <c r="C297" s="2" t="s">
        <v>2625</v>
      </c>
      <c r="D297" s="3" t="s">
        <v>2086</v>
      </c>
      <c r="E297" t="s">
        <v>18</v>
      </c>
      <c r="F297" s="5">
        <v>204</v>
      </c>
      <c r="G297" s="5">
        <v>84</v>
      </c>
      <c r="H297" s="5">
        <v>0</v>
      </c>
      <c r="I297" s="297"/>
      <c r="L297" s="7"/>
    </row>
    <row r="298" spans="1:12" x14ac:dyDescent="0.25">
      <c r="A298" t="s">
        <v>1549</v>
      </c>
      <c r="B298" t="s">
        <v>2567</v>
      </c>
      <c r="C298" s="2" t="s">
        <v>622</v>
      </c>
      <c r="D298" s="3" t="s">
        <v>1669</v>
      </c>
      <c r="E298" t="s">
        <v>18</v>
      </c>
      <c r="F298" s="2" t="str">
        <f t="shared" ref="F298:F305" si="45">LEFT(D298,FIND(",",D298)-1)</f>
        <v>205</v>
      </c>
      <c r="G298" s="2" t="str">
        <f t="shared" ref="G298:G305" si="46">MID(D298,FIND(",",D298)+1,FIND(",",D298,FIND(",",D298)+1)-FIND(",",D298)-1)</f>
        <v xml:space="preserve"> 133</v>
      </c>
      <c r="H298" s="2" t="str">
        <f t="shared" ref="H298:H305" si="47">RIGHT(D298,LEN(D298)-FIND(",",D298,FIND(",",D298)+1))</f>
        <v xml:space="preserve"> 63</v>
      </c>
      <c r="I298" s="159"/>
    </row>
    <row r="299" spans="1:12" x14ac:dyDescent="0.25">
      <c r="A299" t="s">
        <v>619</v>
      </c>
      <c r="B299" t="s">
        <v>2567</v>
      </c>
      <c r="C299" s="2" t="s">
        <v>620</v>
      </c>
      <c r="D299" s="3" t="s">
        <v>1799</v>
      </c>
      <c r="E299" t="s">
        <v>18</v>
      </c>
      <c r="F299" s="2" t="str">
        <f t="shared" si="45"/>
        <v>205</v>
      </c>
      <c r="G299" s="2" t="str">
        <f t="shared" si="46"/>
        <v>102</v>
      </c>
      <c r="H299" s="2" t="str">
        <f t="shared" si="47"/>
        <v>29</v>
      </c>
      <c r="I299" s="780"/>
    </row>
    <row r="300" spans="1:12" x14ac:dyDescent="0.25">
      <c r="A300" t="s">
        <v>120</v>
      </c>
      <c r="B300" t="s">
        <v>2567</v>
      </c>
      <c r="C300" s="2" t="s">
        <v>622</v>
      </c>
      <c r="D300" s="3" t="s">
        <v>1800</v>
      </c>
      <c r="E300" t="s">
        <v>18</v>
      </c>
      <c r="F300" s="2" t="str">
        <f t="shared" si="45"/>
        <v>205</v>
      </c>
      <c r="G300" s="2" t="str">
        <f t="shared" si="46"/>
        <v>133</v>
      </c>
      <c r="H300" s="2" t="str">
        <f t="shared" si="47"/>
        <v>63</v>
      </c>
      <c r="I300" s="159"/>
    </row>
    <row r="301" spans="1:12" x14ac:dyDescent="0.25">
      <c r="A301" t="s">
        <v>120</v>
      </c>
      <c r="B301" t="s">
        <v>2567</v>
      </c>
      <c r="C301" s="2" t="s">
        <v>622</v>
      </c>
      <c r="D301" s="3" t="s">
        <v>1800</v>
      </c>
      <c r="E301" t="s">
        <v>18</v>
      </c>
      <c r="F301" s="2" t="str">
        <f t="shared" si="45"/>
        <v>205</v>
      </c>
      <c r="G301" s="2" t="str">
        <f t="shared" si="46"/>
        <v>133</v>
      </c>
      <c r="H301" s="2" t="str">
        <f t="shared" si="47"/>
        <v>63</v>
      </c>
      <c r="I301" s="159"/>
    </row>
    <row r="302" spans="1:12" x14ac:dyDescent="0.25">
      <c r="A302" t="s">
        <v>628</v>
      </c>
      <c r="B302" t="s">
        <v>2567</v>
      </c>
      <c r="C302" s="2" t="s">
        <v>622</v>
      </c>
      <c r="D302" s="3" t="s">
        <v>1800</v>
      </c>
      <c r="E302" t="s">
        <v>18</v>
      </c>
      <c r="F302" s="2" t="str">
        <f t="shared" si="45"/>
        <v>205</v>
      </c>
      <c r="G302" s="2" t="str">
        <f t="shared" si="46"/>
        <v>133</v>
      </c>
      <c r="H302" s="2" t="str">
        <f t="shared" si="47"/>
        <v>63</v>
      </c>
      <c r="I302" s="159"/>
    </row>
    <row r="303" spans="1:12" x14ac:dyDescent="0.25">
      <c r="A303" t="s">
        <v>581</v>
      </c>
      <c r="B303" t="s">
        <v>2567</v>
      </c>
      <c r="C303" s="2" t="s">
        <v>582</v>
      </c>
      <c r="D303" s="3" t="s">
        <v>2468</v>
      </c>
      <c r="E303" t="s">
        <v>18</v>
      </c>
      <c r="F303" s="2" t="str">
        <f t="shared" si="45"/>
        <v>205</v>
      </c>
      <c r="G303" s="2" t="str">
        <f t="shared" si="46"/>
        <v>155</v>
      </c>
      <c r="H303" s="2" t="str">
        <f t="shared" si="47"/>
        <v>155</v>
      </c>
      <c r="I303" s="326"/>
    </row>
    <row r="304" spans="1:12" x14ac:dyDescent="0.25">
      <c r="A304" t="s">
        <v>608</v>
      </c>
      <c r="B304" t="s">
        <v>2567</v>
      </c>
      <c r="C304" s="2" t="s">
        <v>609</v>
      </c>
      <c r="D304" s="3" t="s">
        <v>2472</v>
      </c>
      <c r="E304" t="s">
        <v>18</v>
      </c>
      <c r="F304" s="2" t="str">
        <f t="shared" si="45"/>
        <v>205</v>
      </c>
      <c r="G304" s="2" t="str">
        <f t="shared" si="46"/>
        <v>170</v>
      </c>
      <c r="H304" s="2" t="str">
        <f t="shared" si="47"/>
        <v>125</v>
      </c>
      <c r="I304" s="544"/>
    </row>
    <row r="305" spans="1:12" x14ac:dyDescent="0.25">
      <c r="A305" t="s">
        <v>596</v>
      </c>
      <c r="B305" t="s">
        <v>2567</v>
      </c>
      <c r="C305" s="2" t="s">
        <v>597</v>
      </c>
      <c r="D305" s="3" t="s">
        <v>1791</v>
      </c>
      <c r="E305" t="s">
        <v>18</v>
      </c>
      <c r="F305" s="2" t="str">
        <f t="shared" si="45"/>
        <v>205</v>
      </c>
      <c r="G305" s="2" t="str">
        <f t="shared" si="46"/>
        <v>51</v>
      </c>
      <c r="H305" s="2" t="str">
        <f t="shared" si="47"/>
        <v>51</v>
      </c>
      <c r="I305" s="251"/>
    </row>
    <row r="306" spans="1:12" x14ac:dyDescent="0.25">
      <c r="A306" t="s">
        <v>1994</v>
      </c>
      <c r="B306" t="s">
        <v>2567</v>
      </c>
      <c r="C306" s="2" t="s">
        <v>614</v>
      </c>
      <c r="D306" s="3" t="s">
        <v>2133</v>
      </c>
      <c r="E306" t="s">
        <v>18</v>
      </c>
      <c r="F306" s="5">
        <v>209</v>
      </c>
      <c r="G306" s="5">
        <v>105</v>
      </c>
      <c r="H306" s="5">
        <v>31</v>
      </c>
      <c r="I306" s="303"/>
      <c r="L306" s="7"/>
    </row>
    <row r="307" spans="1:12" x14ac:dyDescent="0.25">
      <c r="A307" t="s">
        <v>1550</v>
      </c>
      <c r="B307" t="s">
        <v>2567</v>
      </c>
      <c r="C307" s="2" t="s">
        <v>614</v>
      </c>
      <c r="D307" s="3" t="s">
        <v>1670</v>
      </c>
      <c r="E307" t="s">
        <v>18</v>
      </c>
      <c r="F307" s="2" t="str">
        <f t="shared" ref="F307:F312" si="48">LEFT(D307,FIND(",",D307)-1)</f>
        <v>210</v>
      </c>
      <c r="G307" s="2" t="str">
        <f t="shared" ref="G307:G312" si="49">MID(D307,FIND(",",D307)+1,FIND(",",D307,FIND(",",D307)+1)-FIND(",",D307)-1)</f>
        <v xml:space="preserve"> 105</v>
      </c>
      <c r="H307" s="2" t="str">
        <f t="shared" ref="H307:H312" si="50">RIGHT(D307,LEN(D307)-FIND(",",D307,FIND(",",D307)+1))</f>
        <v xml:space="preserve"> 30</v>
      </c>
      <c r="I307" s="127"/>
    </row>
    <row r="308" spans="1:12" x14ac:dyDescent="0.25">
      <c r="A308" t="s">
        <v>642</v>
      </c>
      <c r="B308" t="s">
        <v>2567</v>
      </c>
      <c r="C308" s="2" t="s">
        <v>623</v>
      </c>
      <c r="D308" s="3" t="s">
        <v>1664</v>
      </c>
      <c r="E308" t="s">
        <v>18</v>
      </c>
      <c r="F308" s="2" t="str">
        <f t="shared" si="48"/>
        <v>210</v>
      </c>
      <c r="G308" s="2" t="str">
        <f t="shared" si="49"/>
        <v xml:space="preserve"> 180</v>
      </c>
      <c r="H308" s="2" t="str">
        <f t="shared" si="50"/>
        <v xml:space="preserve"> 140</v>
      </c>
      <c r="I308" s="476"/>
    </row>
    <row r="309" spans="1:12" x14ac:dyDescent="0.25">
      <c r="A309" t="s">
        <v>119</v>
      </c>
      <c r="B309" t="s">
        <v>2567</v>
      </c>
      <c r="C309" s="2" t="s">
        <v>614</v>
      </c>
      <c r="D309" s="3" t="s">
        <v>1796</v>
      </c>
      <c r="E309" t="s">
        <v>18</v>
      </c>
      <c r="F309" s="2" t="str">
        <f t="shared" si="48"/>
        <v>210</v>
      </c>
      <c r="G309" s="2" t="str">
        <f t="shared" si="49"/>
        <v>105</v>
      </c>
      <c r="H309" s="2" t="str">
        <f t="shared" si="50"/>
        <v>30</v>
      </c>
      <c r="I309" s="127"/>
    </row>
    <row r="310" spans="1:12" x14ac:dyDescent="0.25">
      <c r="A310" t="s">
        <v>119</v>
      </c>
      <c r="B310" t="s">
        <v>2567</v>
      </c>
      <c r="C310" s="2" t="s">
        <v>614</v>
      </c>
      <c r="D310" s="3" t="s">
        <v>1796</v>
      </c>
      <c r="E310" t="s">
        <v>18</v>
      </c>
      <c r="F310" s="2" t="str">
        <f t="shared" si="48"/>
        <v>210</v>
      </c>
      <c r="G310" s="2" t="str">
        <f t="shared" si="49"/>
        <v>105</v>
      </c>
      <c r="H310" s="2" t="str">
        <f t="shared" si="50"/>
        <v>30</v>
      </c>
      <c r="I310" s="127"/>
    </row>
    <row r="311" spans="1:12" x14ac:dyDescent="0.25">
      <c r="A311" t="s">
        <v>123</v>
      </c>
      <c r="B311" t="s">
        <v>2567</v>
      </c>
      <c r="C311" s="2" t="s">
        <v>623</v>
      </c>
      <c r="D311" s="3" t="s">
        <v>2316</v>
      </c>
      <c r="E311" t="s">
        <v>18</v>
      </c>
      <c r="F311" s="2" t="str">
        <f t="shared" si="48"/>
        <v>210</v>
      </c>
      <c r="G311" s="2" t="str">
        <f t="shared" si="49"/>
        <v>180</v>
      </c>
      <c r="H311" s="2" t="str">
        <f t="shared" si="50"/>
        <v>140</v>
      </c>
      <c r="I311" s="476"/>
    </row>
    <row r="312" spans="1:12" x14ac:dyDescent="0.25">
      <c r="A312" t="s">
        <v>123</v>
      </c>
      <c r="B312" t="s">
        <v>2567</v>
      </c>
      <c r="C312" s="2" t="s">
        <v>623</v>
      </c>
      <c r="D312" s="3" t="s">
        <v>2316</v>
      </c>
      <c r="E312" t="s">
        <v>18</v>
      </c>
      <c r="F312" s="2" t="str">
        <f t="shared" si="48"/>
        <v>210</v>
      </c>
      <c r="G312" s="2" t="str">
        <f t="shared" si="49"/>
        <v>180</v>
      </c>
      <c r="H312" s="2" t="str">
        <f t="shared" si="50"/>
        <v>140</v>
      </c>
      <c r="I312" s="476"/>
    </row>
    <row r="313" spans="1:12" x14ac:dyDescent="0.25">
      <c r="A313" t="s">
        <v>1995</v>
      </c>
      <c r="B313" t="s">
        <v>2567</v>
      </c>
      <c r="C313" s="2" t="s">
        <v>2626</v>
      </c>
      <c r="D313" s="3" t="s">
        <v>2144</v>
      </c>
      <c r="E313" t="s">
        <v>18</v>
      </c>
      <c r="F313" s="5">
        <v>217</v>
      </c>
      <c r="G313" s="5">
        <v>138</v>
      </c>
      <c r="H313" s="5">
        <v>102</v>
      </c>
      <c r="I313" s="446"/>
      <c r="L313" s="7"/>
    </row>
    <row r="314" spans="1:12" x14ac:dyDescent="0.25">
      <c r="A314" t="s">
        <v>1260</v>
      </c>
      <c r="B314" t="s">
        <v>2567</v>
      </c>
      <c r="C314" s="2" t="s">
        <v>1234</v>
      </c>
      <c r="D314" s="3" t="s">
        <v>1667</v>
      </c>
      <c r="E314" t="s">
        <v>18</v>
      </c>
      <c r="F314" s="2" t="str">
        <f t="shared" ref="F314:F319" si="51">LEFT(D314,FIND(",",D314)-1)</f>
        <v>218</v>
      </c>
      <c r="G314" s="2" t="str">
        <f t="shared" ref="G314:G319" si="52">MID(D314,FIND(",",D314)+1,FIND(",",D314,FIND(",",D314)+1)-FIND(",",D314)-1)</f>
        <v xml:space="preserve"> 165</v>
      </c>
      <c r="H314" s="2" t="str">
        <f t="shared" ref="H314:H319" si="53">RIGHT(D314,LEN(D314)-FIND(",",D314,FIND(",",D314)+1))</f>
        <v xml:space="preserve"> 32</v>
      </c>
      <c r="I314" s="212"/>
    </row>
    <row r="315" spans="1:12" x14ac:dyDescent="0.25">
      <c r="A315" t="s">
        <v>34</v>
      </c>
      <c r="B315" t="s">
        <v>2567</v>
      </c>
      <c r="C315" s="2" t="s">
        <v>1234</v>
      </c>
      <c r="D315" s="3" t="s">
        <v>1953</v>
      </c>
      <c r="E315" t="s">
        <v>18</v>
      </c>
      <c r="F315" s="2" t="str">
        <f t="shared" si="51"/>
        <v>218</v>
      </c>
      <c r="G315" s="2" t="str">
        <f t="shared" si="52"/>
        <v>165</v>
      </c>
      <c r="H315" s="2" t="str">
        <f t="shared" si="53"/>
        <v>32</v>
      </c>
      <c r="I315" s="212"/>
    </row>
    <row r="316" spans="1:12" x14ac:dyDescent="0.25">
      <c r="A316" t="s">
        <v>642</v>
      </c>
      <c r="B316" t="s">
        <v>2567</v>
      </c>
      <c r="C316" s="2" t="s">
        <v>643</v>
      </c>
      <c r="D316" s="3" t="s">
        <v>2475</v>
      </c>
      <c r="E316" t="s">
        <v>18</v>
      </c>
      <c r="F316" s="2" t="str">
        <f t="shared" si="51"/>
        <v>219</v>
      </c>
      <c r="G316" s="2" t="str">
        <f t="shared" si="52"/>
        <v>147</v>
      </c>
      <c r="H316" s="2" t="str">
        <f t="shared" si="53"/>
        <v>112</v>
      </c>
      <c r="I316" s="68"/>
    </row>
    <row r="317" spans="1:12" x14ac:dyDescent="0.25">
      <c r="A317" t="s">
        <v>1548</v>
      </c>
      <c r="B317" t="s">
        <v>2567</v>
      </c>
      <c r="C317" s="2" t="s">
        <v>603</v>
      </c>
      <c r="D317" s="3" t="s">
        <v>1663</v>
      </c>
      <c r="E317" t="s">
        <v>18</v>
      </c>
      <c r="F317" s="2" t="str">
        <f t="shared" si="51"/>
        <v>222</v>
      </c>
      <c r="G317" s="2" t="str">
        <f t="shared" si="52"/>
        <v xml:space="preserve"> 184</v>
      </c>
      <c r="H317" s="2" t="str">
        <f t="shared" si="53"/>
        <v xml:space="preserve"> 135</v>
      </c>
      <c r="I317" s="65"/>
    </row>
    <row r="318" spans="1:12" x14ac:dyDescent="0.25">
      <c r="A318" t="s">
        <v>122</v>
      </c>
      <c r="B318" t="s">
        <v>2567</v>
      </c>
      <c r="C318" s="2" t="s">
        <v>603</v>
      </c>
      <c r="D318" s="3" t="s">
        <v>2084</v>
      </c>
      <c r="E318" t="s">
        <v>18</v>
      </c>
      <c r="F318" s="2" t="str">
        <f t="shared" si="51"/>
        <v>222</v>
      </c>
      <c r="G318" s="2" t="str">
        <f t="shared" si="52"/>
        <v>184</v>
      </c>
      <c r="H318" s="2" t="str">
        <f t="shared" si="53"/>
        <v>135</v>
      </c>
      <c r="I318" s="65"/>
    </row>
    <row r="319" spans="1:12" x14ac:dyDescent="0.25">
      <c r="A319" t="s">
        <v>602</v>
      </c>
      <c r="B319" t="s">
        <v>2567</v>
      </c>
      <c r="C319" s="2" t="s">
        <v>603</v>
      </c>
      <c r="D319" s="3" t="s">
        <v>2084</v>
      </c>
      <c r="E319" t="s">
        <v>18</v>
      </c>
      <c r="F319" s="2" t="str">
        <f t="shared" si="51"/>
        <v>222</v>
      </c>
      <c r="G319" s="2" t="str">
        <f t="shared" si="52"/>
        <v>184</v>
      </c>
      <c r="H319" s="2" t="str">
        <f t="shared" si="53"/>
        <v>135</v>
      </c>
      <c r="I319" s="65"/>
    </row>
    <row r="320" spans="1:12" x14ac:dyDescent="0.25">
      <c r="A320" t="s">
        <v>1360</v>
      </c>
      <c r="B320" t="s">
        <v>2567</v>
      </c>
      <c r="C320" s="2" t="s">
        <v>603</v>
      </c>
      <c r="D320" s="3" t="s">
        <v>2084</v>
      </c>
      <c r="E320" t="s">
        <v>18</v>
      </c>
      <c r="F320" s="5">
        <v>222</v>
      </c>
      <c r="G320" s="5">
        <v>184</v>
      </c>
      <c r="H320" s="5">
        <v>135</v>
      </c>
      <c r="I320" s="65"/>
      <c r="L320" s="7"/>
    </row>
    <row r="321" spans="1:12" x14ac:dyDescent="0.25">
      <c r="A321" t="s">
        <v>1523</v>
      </c>
      <c r="B321" t="s">
        <v>2567</v>
      </c>
      <c r="C321" s="2" t="s">
        <v>2627</v>
      </c>
      <c r="D321" s="3" t="s">
        <v>2246</v>
      </c>
      <c r="E321" t="s">
        <v>18</v>
      </c>
      <c r="F321" s="5">
        <v>227</v>
      </c>
      <c r="G321" s="5">
        <v>133</v>
      </c>
      <c r="H321" s="5">
        <v>0</v>
      </c>
      <c r="I321" s="758"/>
      <c r="L321" s="7"/>
    </row>
    <row r="322" spans="1:12" x14ac:dyDescent="0.25">
      <c r="A322" t="s">
        <v>1500</v>
      </c>
      <c r="B322" t="s">
        <v>2567</v>
      </c>
      <c r="C322" s="2" t="s">
        <v>2628</v>
      </c>
      <c r="D322" s="3" t="s">
        <v>2222</v>
      </c>
      <c r="E322" t="s">
        <v>18</v>
      </c>
      <c r="F322" s="5">
        <v>230</v>
      </c>
      <c r="G322" s="5">
        <v>171</v>
      </c>
      <c r="H322" s="5">
        <v>112</v>
      </c>
      <c r="I322" s="634"/>
      <c r="L322" s="7"/>
    </row>
    <row r="323" spans="1:12" x14ac:dyDescent="0.25">
      <c r="A323" t="s">
        <v>1363</v>
      </c>
      <c r="B323" t="s">
        <v>2567</v>
      </c>
      <c r="C323" s="2" t="s">
        <v>2629</v>
      </c>
      <c r="D323" s="3" t="s">
        <v>2087</v>
      </c>
      <c r="E323" t="s">
        <v>18</v>
      </c>
      <c r="F323" s="5">
        <v>232</v>
      </c>
      <c r="G323" s="5">
        <v>115</v>
      </c>
      <c r="H323" s="5">
        <v>82</v>
      </c>
      <c r="I323" s="682"/>
      <c r="L323" s="7"/>
    </row>
    <row r="324" spans="1:12" x14ac:dyDescent="0.25">
      <c r="A324" t="s">
        <v>637</v>
      </c>
      <c r="B324" t="s">
        <v>2567</v>
      </c>
      <c r="C324" s="2" t="s">
        <v>638</v>
      </c>
      <c r="D324" s="3" t="s">
        <v>2474</v>
      </c>
      <c r="E324" t="s">
        <v>18</v>
      </c>
      <c r="F324" s="2" t="str">
        <f>LEFT(D324,FIND(",",D324)-1)</f>
        <v>235</v>
      </c>
      <c r="G324" s="2" t="str">
        <f>MID(D324,FIND(",",D324)+1,FIND(",",D324,FIND(",",D324)+1)-FIND(",",D324)-1)</f>
        <v>199</v>
      </c>
      <c r="H324" s="2" t="str">
        <f>RIGHT(D324,LEN(D324)-FIND(",",D324,FIND(",",D324)+1))</f>
        <v>158</v>
      </c>
      <c r="I324" s="254"/>
    </row>
    <row r="325" spans="1:12" x14ac:dyDescent="0.25">
      <c r="A325" t="s">
        <v>1474</v>
      </c>
      <c r="B325" t="s">
        <v>2567</v>
      </c>
      <c r="C325" s="2" t="s">
        <v>2630</v>
      </c>
      <c r="D325" s="3" t="s">
        <v>2200</v>
      </c>
      <c r="E325" t="s">
        <v>18</v>
      </c>
      <c r="F325" s="5">
        <v>237</v>
      </c>
      <c r="G325" s="5">
        <v>201</v>
      </c>
      <c r="H325" s="5">
        <v>176</v>
      </c>
      <c r="I325" s="524"/>
      <c r="L325" s="7"/>
    </row>
    <row r="326" spans="1:12" x14ac:dyDescent="0.25">
      <c r="A326" t="s">
        <v>617</v>
      </c>
      <c r="B326" t="s">
        <v>2567</v>
      </c>
      <c r="C326" s="2" t="s">
        <v>618</v>
      </c>
      <c r="D326" s="3" t="s">
        <v>1798</v>
      </c>
      <c r="E326" t="s">
        <v>18</v>
      </c>
      <c r="F326" s="2" t="str">
        <f t="shared" ref="F326:F331" si="54">LEFT(D326,FIND(",",D326)-1)</f>
        <v>238</v>
      </c>
      <c r="G326" s="2" t="str">
        <f t="shared" ref="G326:G331" si="55">MID(D326,FIND(",",D326)+1,FIND(",",D326,FIND(",",D326)+1)-FIND(",",D326)-1)</f>
        <v>118</v>
      </c>
      <c r="H326" s="2" t="str">
        <f t="shared" ref="H326:H331" si="56">RIGHT(D326,LEN(D326)-FIND(",",D326,FIND(",",D326)+1))</f>
        <v>33</v>
      </c>
      <c r="I326" s="66"/>
    </row>
    <row r="327" spans="1:12" x14ac:dyDescent="0.25">
      <c r="A327" t="s">
        <v>626</v>
      </c>
      <c r="B327" t="s">
        <v>2567</v>
      </c>
      <c r="C327" s="2" t="s">
        <v>627</v>
      </c>
      <c r="D327" s="3" t="s">
        <v>1802</v>
      </c>
      <c r="E327" t="s">
        <v>18</v>
      </c>
      <c r="F327" s="2" t="str">
        <f t="shared" si="54"/>
        <v>238</v>
      </c>
      <c r="G327" s="2" t="str">
        <f t="shared" si="55"/>
        <v>154</v>
      </c>
      <c r="H327" s="2" t="str">
        <f t="shared" si="56"/>
        <v>73</v>
      </c>
      <c r="I327" s="545"/>
    </row>
    <row r="328" spans="1:12" x14ac:dyDescent="0.25">
      <c r="A328" t="s">
        <v>579</v>
      </c>
      <c r="B328" t="s">
        <v>2567</v>
      </c>
      <c r="C328" s="2" t="s">
        <v>580</v>
      </c>
      <c r="D328" s="3" t="s">
        <v>2467</v>
      </c>
      <c r="E328" t="s">
        <v>18</v>
      </c>
      <c r="F328" s="2" t="str">
        <f t="shared" si="54"/>
        <v>238</v>
      </c>
      <c r="G328" s="2" t="str">
        <f t="shared" si="55"/>
        <v>180</v>
      </c>
      <c r="H328" s="2" t="str">
        <f t="shared" si="56"/>
        <v>180</v>
      </c>
      <c r="I328" s="778"/>
    </row>
    <row r="329" spans="1:12" x14ac:dyDescent="0.25">
      <c r="A329" t="s">
        <v>606</v>
      </c>
      <c r="B329" t="s">
        <v>2567</v>
      </c>
      <c r="C329" s="2" t="s">
        <v>607</v>
      </c>
      <c r="D329" s="3" t="s">
        <v>2471</v>
      </c>
      <c r="E329" t="s">
        <v>18</v>
      </c>
      <c r="F329" s="2" t="str">
        <f t="shared" si="54"/>
        <v>238</v>
      </c>
      <c r="G329" s="2" t="str">
        <f t="shared" si="55"/>
        <v>197</v>
      </c>
      <c r="H329" s="2" t="str">
        <f t="shared" si="56"/>
        <v>145</v>
      </c>
      <c r="I329" s="475"/>
    </row>
    <row r="330" spans="1:12" x14ac:dyDescent="0.25">
      <c r="A330" t="s">
        <v>35</v>
      </c>
      <c r="B330" t="s">
        <v>2567</v>
      </c>
      <c r="C330" s="2" t="s">
        <v>1221</v>
      </c>
      <c r="D330" s="3" t="s">
        <v>2268</v>
      </c>
      <c r="E330" t="s">
        <v>18</v>
      </c>
      <c r="F330" s="2" t="str">
        <f t="shared" si="54"/>
        <v>238</v>
      </c>
      <c r="G330" s="2" t="str">
        <f t="shared" si="55"/>
        <v>232</v>
      </c>
      <c r="H330" s="2" t="str">
        <f t="shared" si="56"/>
        <v>170</v>
      </c>
      <c r="I330" s="577"/>
    </row>
    <row r="331" spans="1:12" x14ac:dyDescent="0.25">
      <c r="A331" t="s">
        <v>594</v>
      </c>
      <c r="B331" t="s">
        <v>2567</v>
      </c>
      <c r="C331" s="2" t="s">
        <v>595</v>
      </c>
      <c r="D331" s="3" t="s">
        <v>1790</v>
      </c>
      <c r="E331" t="s">
        <v>18</v>
      </c>
      <c r="F331" s="2" t="str">
        <f t="shared" si="54"/>
        <v>238</v>
      </c>
      <c r="G331" s="2" t="str">
        <f t="shared" si="55"/>
        <v>59</v>
      </c>
      <c r="H331" s="2" t="str">
        <f t="shared" si="56"/>
        <v>59</v>
      </c>
      <c r="I331" s="708"/>
    </row>
    <row r="332" spans="1:12" x14ac:dyDescent="0.25">
      <c r="A332" t="s">
        <v>1297</v>
      </c>
      <c r="B332" t="s">
        <v>2567</v>
      </c>
      <c r="C332" s="2" t="s">
        <v>2631</v>
      </c>
      <c r="D332" s="3" t="s">
        <v>2010</v>
      </c>
      <c r="E332" t="s">
        <v>18</v>
      </c>
      <c r="F332" s="5">
        <v>240</v>
      </c>
      <c r="G332" s="5">
        <v>222</v>
      </c>
      <c r="H332" s="5">
        <v>204</v>
      </c>
      <c r="I332" s="799"/>
      <c r="L332" s="7"/>
    </row>
    <row r="333" spans="1:12" x14ac:dyDescent="0.25">
      <c r="A333" t="s">
        <v>37</v>
      </c>
      <c r="B333" t="s">
        <v>2567</v>
      </c>
      <c r="C333" s="2" t="s">
        <v>743</v>
      </c>
      <c r="D333" s="3" t="s">
        <v>2281</v>
      </c>
      <c r="E333" t="s">
        <v>18</v>
      </c>
      <c r="F333" s="2" t="str">
        <f t="shared" ref="F333:F338" si="57">LEFT(D333,FIND(",",D333)-1)</f>
        <v>240</v>
      </c>
      <c r="G333" s="2" t="str">
        <f t="shared" ref="G333:G338" si="58">MID(D333,FIND(",",D333)+1,FIND(",",D333,FIND(",",D333)+1)-FIND(",",D333)-1)</f>
        <v>230</v>
      </c>
      <c r="H333" s="2" t="str">
        <f t="shared" ref="H333:H338" si="59">RIGHT(D333,LEN(D333)-FIND(",",D333,FIND(",",D333)+1))</f>
        <v>140</v>
      </c>
      <c r="I333" s="22"/>
    </row>
    <row r="334" spans="1:12" x14ac:dyDescent="0.25">
      <c r="A334" t="s">
        <v>587</v>
      </c>
      <c r="B334" t="s">
        <v>2567</v>
      </c>
      <c r="C334" s="2" t="s">
        <v>588</v>
      </c>
      <c r="D334" s="3" t="s">
        <v>1666</v>
      </c>
      <c r="E334" t="s">
        <v>18</v>
      </c>
      <c r="F334" s="2" t="str">
        <f t="shared" si="57"/>
        <v>244</v>
      </c>
      <c r="G334" s="2" t="str">
        <f t="shared" si="58"/>
        <v xml:space="preserve"> 164</v>
      </c>
      <c r="H334" s="2" t="str">
        <f t="shared" si="59"/>
        <v xml:space="preserve"> 96</v>
      </c>
      <c r="I334" s="189"/>
    </row>
    <row r="335" spans="1:12" x14ac:dyDescent="0.25">
      <c r="A335" t="s">
        <v>121</v>
      </c>
      <c r="B335" t="s">
        <v>2567</v>
      </c>
      <c r="C335" s="2" t="s">
        <v>588</v>
      </c>
      <c r="D335" s="3" t="s">
        <v>1786</v>
      </c>
      <c r="E335" t="s">
        <v>18</v>
      </c>
      <c r="F335" s="2" t="str">
        <f t="shared" si="57"/>
        <v>244</v>
      </c>
      <c r="G335" s="2" t="str">
        <f t="shared" si="58"/>
        <v>164</v>
      </c>
      <c r="H335" s="2" t="str">
        <f t="shared" si="59"/>
        <v>96</v>
      </c>
      <c r="I335" s="189"/>
    </row>
    <row r="336" spans="1:12" x14ac:dyDescent="0.25">
      <c r="A336" t="s">
        <v>587</v>
      </c>
      <c r="B336" t="s">
        <v>2567</v>
      </c>
      <c r="C336" s="2" t="s">
        <v>588</v>
      </c>
      <c r="D336" s="3" t="s">
        <v>1786</v>
      </c>
      <c r="E336" t="s">
        <v>18</v>
      </c>
      <c r="F336" s="2" t="str">
        <f t="shared" si="57"/>
        <v>244</v>
      </c>
      <c r="G336" s="2" t="str">
        <f t="shared" si="58"/>
        <v>164</v>
      </c>
      <c r="H336" s="2" t="str">
        <f t="shared" si="59"/>
        <v>96</v>
      </c>
      <c r="I336" s="189"/>
    </row>
    <row r="337" spans="1:12" x14ac:dyDescent="0.25">
      <c r="A337" t="s">
        <v>1176</v>
      </c>
      <c r="B337" t="s">
        <v>2567</v>
      </c>
      <c r="C337" s="2" t="s">
        <v>1165</v>
      </c>
      <c r="D337" s="3" t="s">
        <v>1662</v>
      </c>
      <c r="E337" t="s">
        <v>18</v>
      </c>
      <c r="F337" s="2" t="str">
        <f t="shared" si="57"/>
        <v>245</v>
      </c>
      <c r="G337" s="2" t="str">
        <f t="shared" si="58"/>
        <v xml:space="preserve"> 222</v>
      </c>
      <c r="H337" s="2" t="str">
        <f t="shared" si="59"/>
        <v xml:space="preserve"> 179</v>
      </c>
      <c r="I337" s="158"/>
    </row>
    <row r="338" spans="1:12" x14ac:dyDescent="0.25">
      <c r="A338" t="s">
        <v>109</v>
      </c>
      <c r="B338" t="s">
        <v>2567</v>
      </c>
      <c r="C338" s="2" t="s">
        <v>589</v>
      </c>
      <c r="D338" s="3" t="s">
        <v>2313</v>
      </c>
      <c r="E338" t="s">
        <v>18</v>
      </c>
      <c r="F338" s="2" t="str">
        <f t="shared" si="57"/>
        <v>245</v>
      </c>
      <c r="G338" s="2" t="str">
        <f t="shared" si="58"/>
        <v>245</v>
      </c>
      <c r="H338" s="2" t="str">
        <f t="shared" si="59"/>
        <v>220</v>
      </c>
      <c r="I338" s="31"/>
    </row>
    <row r="339" spans="1:12" x14ac:dyDescent="0.25">
      <c r="A339" t="s">
        <v>1463</v>
      </c>
      <c r="B339" t="s">
        <v>2567</v>
      </c>
      <c r="C339" s="2" t="s">
        <v>2632</v>
      </c>
      <c r="D339" s="3" t="s">
        <v>2191</v>
      </c>
      <c r="E339" t="s">
        <v>18</v>
      </c>
      <c r="F339" s="5">
        <v>250</v>
      </c>
      <c r="G339" s="5">
        <v>214</v>
      </c>
      <c r="H339" s="5">
        <v>166</v>
      </c>
      <c r="I339" s="761"/>
      <c r="L339" s="7"/>
    </row>
    <row r="340" spans="1:12" x14ac:dyDescent="0.25">
      <c r="A340" t="s">
        <v>130</v>
      </c>
      <c r="B340" t="s">
        <v>2567</v>
      </c>
      <c r="C340" s="2" t="s">
        <v>1147</v>
      </c>
      <c r="D340" s="3" t="s">
        <v>2322</v>
      </c>
      <c r="E340" t="s">
        <v>18</v>
      </c>
      <c r="F340" s="2" t="str">
        <f t="shared" ref="F340:F346" si="60">LEFT(D340,FIND(",",D340)-1)</f>
        <v>250</v>
      </c>
      <c r="G340" s="2" t="str">
        <f t="shared" ref="G340:G346" si="61">MID(D340,FIND(",",D340)+1,FIND(",",D340,FIND(",",D340)+1)-FIND(",",D340)-1)</f>
        <v>240</v>
      </c>
      <c r="H340" s="2" t="str">
        <f t="shared" ref="H340:H346" si="62">RIGHT(D340,LEN(D340)-FIND(",",D340,FIND(",",D340)+1))</f>
        <v>230</v>
      </c>
      <c r="I340" s="221"/>
    </row>
    <row r="341" spans="1:12" x14ac:dyDescent="0.25">
      <c r="A341" t="s">
        <v>131</v>
      </c>
      <c r="B341" t="s">
        <v>2567</v>
      </c>
      <c r="C341" s="2" t="s">
        <v>1136</v>
      </c>
      <c r="D341" s="3" t="s">
        <v>2323</v>
      </c>
      <c r="E341" t="s">
        <v>18</v>
      </c>
      <c r="F341" s="2" t="str">
        <f t="shared" si="60"/>
        <v>253</v>
      </c>
      <c r="G341" s="2" t="str">
        <f t="shared" si="61"/>
        <v>245</v>
      </c>
      <c r="H341" s="2" t="str">
        <f t="shared" si="62"/>
        <v>230</v>
      </c>
      <c r="I341" s="693"/>
    </row>
    <row r="342" spans="1:12" x14ac:dyDescent="0.25">
      <c r="A342" t="s">
        <v>1126</v>
      </c>
      <c r="B342" t="s">
        <v>2567</v>
      </c>
      <c r="C342" s="2" t="s">
        <v>1127</v>
      </c>
      <c r="D342" s="3" t="s">
        <v>1661</v>
      </c>
      <c r="E342" t="s">
        <v>18</v>
      </c>
      <c r="F342" s="2" t="str">
        <f t="shared" si="60"/>
        <v>255</v>
      </c>
      <c r="G342" s="2" t="str">
        <f t="shared" si="61"/>
        <v xml:space="preserve"> 222</v>
      </c>
      <c r="H342" s="2" t="str">
        <f t="shared" si="62"/>
        <v xml:space="preserve"> 173</v>
      </c>
      <c r="I342" s="562"/>
    </row>
    <row r="343" spans="1:12" x14ac:dyDescent="0.25">
      <c r="A343" t="s">
        <v>1331</v>
      </c>
      <c r="B343" t="s">
        <v>2567</v>
      </c>
      <c r="C343" s="2" t="s">
        <v>804</v>
      </c>
      <c r="D343" s="3" t="s">
        <v>1660</v>
      </c>
      <c r="E343" t="s">
        <v>18</v>
      </c>
      <c r="F343" s="2" t="str">
        <f t="shared" si="60"/>
        <v>255</v>
      </c>
      <c r="G343" s="2" t="str">
        <f t="shared" si="61"/>
        <v xml:space="preserve"> 228</v>
      </c>
      <c r="H343" s="2" t="str">
        <f t="shared" si="62"/>
        <v xml:space="preserve"> 196</v>
      </c>
      <c r="I343" s="117"/>
    </row>
    <row r="344" spans="1:12" x14ac:dyDescent="0.25">
      <c r="A344" t="s">
        <v>1178</v>
      </c>
      <c r="B344" t="s">
        <v>2567</v>
      </c>
      <c r="C344" s="2" t="s">
        <v>1179</v>
      </c>
      <c r="D344" s="3" t="s">
        <v>1659</v>
      </c>
      <c r="E344" t="s">
        <v>18</v>
      </c>
      <c r="F344" s="2" t="str">
        <f t="shared" si="60"/>
        <v>255</v>
      </c>
      <c r="G344" s="2" t="str">
        <f t="shared" si="61"/>
        <v xml:space="preserve"> 235</v>
      </c>
      <c r="H344" s="2" t="str">
        <f t="shared" si="62"/>
        <v xml:space="preserve"> 205</v>
      </c>
      <c r="I344" s="126"/>
    </row>
    <row r="345" spans="1:12" x14ac:dyDescent="0.25">
      <c r="A345" t="s">
        <v>1426</v>
      </c>
      <c r="B345" t="s">
        <v>2567</v>
      </c>
      <c r="C345" s="2" t="s">
        <v>1225</v>
      </c>
      <c r="D345" s="3" t="s">
        <v>1658</v>
      </c>
      <c r="E345" t="s">
        <v>18</v>
      </c>
      <c r="F345" s="2" t="str">
        <f t="shared" si="60"/>
        <v>255</v>
      </c>
      <c r="G345" s="2" t="str">
        <f t="shared" si="61"/>
        <v xml:space="preserve"> 248</v>
      </c>
      <c r="H345" s="2" t="str">
        <f t="shared" si="62"/>
        <v xml:space="preserve"> 220</v>
      </c>
      <c r="I345" s="188"/>
    </row>
    <row r="346" spans="1:12" x14ac:dyDescent="0.25">
      <c r="A346" t="s">
        <v>615</v>
      </c>
      <c r="B346" t="s">
        <v>2567</v>
      </c>
      <c r="C346" s="2" t="s">
        <v>616</v>
      </c>
      <c r="D346" s="3" t="s">
        <v>1797</v>
      </c>
      <c r="E346" t="s">
        <v>18</v>
      </c>
      <c r="F346" s="2" t="str">
        <f t="shared" si="60"/>
        <v>255</v>
      </c>
      <c r="G346" s="2" t="str">
        <f t="shared" si="61"/>
        <v>127</v>
      </c>
      <c r="H346" s="2" t="str">
        <f t="shared" si="62"/>
        <v>36</v>
      </c>
      <c r="I346" s="709"/>
    </row>
    <row r="347" spans="1:12" x14ac:dyDescent="0.25">
      <c r="A347" t="s">
        <v>1316</v>
      </c>
      <c r="B347" t="s">
        <v>2567</v>
      </c>
      <c r="C347" s="2" t="s">
        <v>2633</v>
      </c>
      <c r="D347" s="3" t="s">
        <v>2029</v>
      </c>
      <c r="E347" t="s">
        <v>18</v>
      </c>
      <c r="F347" s="5">
        <v>255</v>
      </c>
      <c r="G347" s="5">
        <v>153</v>
      </c>
      <c r="H347" s="5">
        <v>102</v>
      </c>
      <c r="I347" s="433"/>
      <c r="L347" s="7"/>
    </row>
    <row r="348" spans="1:12" x14ac:dyDescent="0.25">
      <c r="A348" t="s">
        <v>624</v>
      </c>
      <c r="B348" t="s">
        <v>2567</v>
      </c>
      <c r="C348" s="2" t="s">
        <v>625</v>
      </c>
      <c r="D348" s="3" t="s">
        <v>1801</v>
      </c>
      <c r="E348" t="s">
        <v>18</v>
      </c>
      <c r="F348" s="2" t="str">
        <f>LEFT(D348,FIND(",",D348)-1)</f>
        <v>255</v>
      </c>
      <c r="G348" s="2" t="str">
        <f>MID(D348,FIND(",",D348)+1,FIND(",",D348,FIND(",",D348)+1)-FIND(",",D348)-1)</f>
        <v>165</v>
      </c>
      <c r="H348" s="2" t="str">
        <f>RIGHT(D348,LEN(D348)-FIND(",",D348,FIND(",",D348)+1))</f>
        <v>79</v>
      </c>
      <c r="I348" s="253"/>
    </row>
    <row r="349" spans="1:12" x14ac:dyDescent="0.25">
      <c r="A349" t="s">
        <v>577</v>
      </c>
      <c r="B349" t="s">
        <v>2567</v>
      </c>
      <c r="C349" s="2" t="s">
        <v>578</v>
      </c>
      <c r="D349" s="3" t="s">
        <v>2466</v>
      </c>
      <c r="E349" t="s">
        <v>18</v>
      </c>
      <c r="F349" s="2" t="str">
        <f>LEFT(D349,FIND(",",D349)-1)</f>
        <v>255</v>
      </c>
      <c r="G349" s="2" t="str">
        <f>MID(D349,FIND(",",D349)+1,FIND(",",D349,FIND(",",D349)+1)-FIND(",",D349)-1)</f>
        <v>193</v>
      </c>
      <c r="H349" s="2" t="str">
        <f>RIGHT(D349,LEN(D349)-FIND(",",D349,FIND(",",D349)+1))</f>
        <v>193</v>
      </c>
      <c r="I349" s="707"/>
    </row>
    <row r="350" spans="1:12" x14ac:dyDescent="0.25">
      <c r="A350" t="s">
        <v>1358</v>
      </c>
      <c r="B350" t="s">
        <v>2567</v>
      </c>
      <c r="C350" s="2" t="s">
        <v>2634</v>
      </c>
      <c r="D350" s="3" t="s">
        <v>2082</v>
      </c>
      <c r="E350" t="s">
        <v>18</v>
      </c>
      <c r="F350" s="5">
        <v>255</v>
      </c>
      <c r="G350" s="5">
        <v>199</v>
      </c>
      <c r="H350" s="5">
        <v>128</v>
      </c>
      <c r="I350" s="439"/>
      <c r="L350" s="7"/>
    </row>
    <row r="351" spans="1:12" x14ac:dyDescent="0.25">
      <c r="A351" t="s">
        <v>604</v>
      </c>
      <c r="B351" t="s">
        <v>2567</v>
      </c>
      <c r="C351" s="2" t="s">
        <v>605</v>
      </c>
      <c r="D351" s="3" t="s">
        <v>2470</v>
      </c>
      <c r="E351" t="s">
        <v>18</v>
      </c>
      <c r="F351" s="2" t="str">
        <f t="shared" ref="F351:F359" si="63">LEFT(D351,FIND(",",D351)-1)</f>
        <v>255</v>
      </c>
      <c r="G351" s="2" t="str">
        <f t="shared" ref="G351:G359" si="64">MID(D351,FIND(",",D351)+1,FIND(",",D351,FIND(",",D351)+1)-FIND(",",D351)-1)</f>
        <v>211</v>
      </c>
      <c r="H351" s="2" t="str">
        <f t="shared" ref="H351:H359" si="65">RIGHT(D351,LEN(D351)-FIND(",",D351,FIND(",",D351)+1))</f>
        <v>155</v>
      </c>
      <c r="I351" s="397"/>
    </row>
    <row r="352" spans="1:12" x14ac:dyDescent="0.25">
      <c r="A352" t="s">
        <v>127</v>
      </c>
      <c r="B352" t="s">
        <v>2567</v>
      </c>
      <c r="C352" s="2" t="s">
        <v>796</v>
      </c>
      <c r="D352" s="3" t="s">
        <v>2319</v>
      </c>
      <c r="E352" t="s">
        <v>18</v>
      </c>
      <c r="F352" s="2" t="str">
        <f t="shared" si="63"/>
        <v>255</v>
      </c>
      <c r="G352" s="2" t="str">
        <f t="shared" si="64"/>
        <v>218</v>
      </c>
      <c r="H352" s="2" t="str">
        <f t="shared" si="65"/>
        <v>185</v>
      </c>
      <c r="I352" s="128"/>
    </row>
    <row r="353" spans="1:12" x14ac:dyDescent="0.25">
      <c r="A353" t="s">
        <v>126</v>
      </c>
      <c r="B353" t="s">
        <v>2567</v>
      </c>
      <c r="C353" s="2" t="s">
        <v>1127</v>
      </c>
      <c r="D353" s="3" t="s">
        <v>2318</v>
      </c>
      <c r="E353" t="s">
        <v>18</v>
      </c>
      <c r="F353" s="2" t="str">
        <f t="shared" si="63"/>
        <v>255</v>
      </c>
      <c r="G353" s="2" t="str">
        <f t="shared" si="64"/>
        <v>222</v>
      </c>
      <c r="H353" s="2" t="str">
        <f t="shared" si="65"/>
        <v>173</v>
      </c>
      <c r="I353" s="562"/>
    </row>
    <row r="354" spans="1:12" x14ac:dyDescent="0.25">
      <c r="A354" t="s">
        <v>125</v>
      </c>
      <c r="B354" t="s">
        <v>2567</v>
      </c>
      <c r="C354" s="2" t="s">
        <v>1243</v>
      </c>
      <c r="D354" s="3" t="s">
        <v>2254</v>
      </c>
      <c r="E354" t="s">
        <v>18</v>
      </c>
      <c r="F354" s="2" t="str">
        <f t="shared" si="63"/>
        <v>255</v>
      </c>
      <c r="G354" s="2" t="str">
        <f t="shared" si="64"/>
        <v>228</v>
      </c>
      <c r="H354" s="2" t="str">
        <f t="shared" si="65"/>
        <v>181</v>
      </c>
      <c r="I354" s="33"/>
    </row>
    <row r="355" spans="1:12" x14ac:dyDescent="0.25">
      <c r="A355" t="s">
        <v>128</v>
      </c>
      <c r="B355" t="s">
        <v>2567</v>
      </c>
      <c r="C355" s="2" t="s">
        <v>902</v>
      </c>
      <c r="D355" s="3" t="s">
        <v>2320</v>
      </c>
      <c r="E355" t="s">
        <v>18</v>
      </c>
      <c r="F355" s="2" t="str">
        <f t="shared" si="63"/>
        <v>255</v>
      </c>
      <c r="G355" s="2" t="str">
        <f t="shared" si="64"/>
        <v>228</v>
      </c>
      <c r="H355" s="2" t="str">
        <f t="shared" si="65"/>
        <v>225</v>
      </c>
      <c r="I355" s="160"/>
    </row>
    <row r="356" spans="1:12" x14ac:dyDescent="0.25">
      <c r="A356" t="s">
        <v>132</v>
      </c>
      <c r="B356" t="s">
        <v>2567</v>
      </c>
      <c r="C356" s="2" t="s">
        <v>1223</v>
      </c>
      <c r="D356" s="3" t="s">
        <v>2269</v>
      </c>
      <c r="E356" t="s">
        <v>18</v>
      </c>
      <c r="F356" s="2" t="str">
        <f t="shared" si="63"/>
        <v>255</v>
      </c>
      <c r="G356" s="2" t="str">
        <f t="shared" si="64"/>
        <v>239</v>
      </c>
      <c r="H356" s="2" t="str">
        <f t="shared" si="65"/>
        <v>213</v>
      </c>
      <c r="I356" s="379"/>
    </row>
    <row r="357" spans="1:12" x14ac:dyDescent="0.25">
      <c r="A357" t="s">
        <v>129</v>
      </c>
      <c r="B357" t="s">
        <v>2567</v>
      </c>
      <c r="C357" s="2" t="s">
        <v>1005</v>
      </c>
      <c r="D357" s="3" t="s">
        <v>2321</v>
      </c>
      <c r="E357" t="s">
        <v>18</v>
      </c>
      <c r="F357" s="2" t="str">
        <f t="shared" si="63"/>
        <v>255</v>
      </c>
      <c r="G357" s="2" t="str">
        <f t="shared" si="64"/>
        <v>240</v>
      </c>
      <c r="H357" s="2" t="str">
        <f t="shared" si="65"/>
        <v>245</v>
      </c>
      <c r="I357" s="91"/>
    </row>
    <row r="358" spans="1:12" x14ac:dyDescent="0.25">
      <c r="A358" t="s">
        <v>133</v>
      </c>
      <c r="B358" t="s">
        <v>2567</v>
      </c>
      <c r="C358" s="2" t="s">
        <v>1149</v>
      </c>
      <c r="D358" s="3" t="s">
        <v>2324</v>
      </c>
      <c r="E358" t="s">
        <v>18</v>
      </c>
      <c r="F358" s="2" t="str">
        <f t="shared" si="63"/>
        <v>255</v>
      </c>
      <c r="G358" s="2" t="str">
        <f t="shared" si="64"/>
        <v>245</v>
      </c>
      <c r="H358" s="2" t="str">
        <f t="shared" si="65"/>
        <v>238</v>
      </c>
      <c r="I358" s="34"/>
    </row>
    <row r="359" spans="1:12" x14ac:dyDescent="0.25">
      <c r="A359" t="s">
        <v>592</v>
      </c>
      <c r="B359" t="s">
        <v>2567</v>
      </c>
      <c r="C359" s="2" t="s">
        <v>593</v>
      </c>
      <c r="D359" s="3" t="s">
        <v>1789</v>
      </c>
      <c r="E359" t="s">
        <v>18</v>
      </c>
      <c r="F359" s="2" t="str">
        <f t="shared" si="63"/>
        <v>255</v>
      </c>
      <c r="G359" s="2" t="str">
        <f t="shared" si="64"/>
        <v>64</v>
      </c>
      <c r="H359" s="2" t="str">
        <f t="shared" si="65"/>
        <v>64</v>
      </c>
      <c r="I359" s="649"/>
    </row>
    <row r="360" spans="1:12" x14ac:dyDescent="0.25">
      <c r="A360" t="s">
        <v>1335</v>
      </c>
      <c r="B360" t="s">
        <v>2567</v>
      </c>
      <c r="C360" s="2" t="s">
        <v>2635</v>
      </c>
      <c r="D360" s="3" t="s">
        <v>2050</v>
      </c>
      <c r="E360" t="s">
        <v>18</v>
      </c>
      <c r="F360" s="5">
        <v>61</v>
      </c>
      <c r="G360" s="5">
        <v>13</v>
      </c>
      <c r="H360" s="5">
        <v>3</v>
      </c>
      <c r="I360" s="616"/>
      <c r="L360" s="7"/>
    </row>
    <row r="361" spans="1:12" x14ac:dyDescent="0.25">
      <c r="A361" t="s">
        <v>1454</v>
      </c>
      <c r="B361" t="s">
        <v>2567</v>
      </c>
      <c r="C361" s="2" t="s">
        <v>2636</v>
      </c>
      <c r="D361" s="3" t="s">
        <v>2183</v>
      </c>
      <c r="E361" t="s">
        <v>18</v>
      </c>
      <c r="F361" s="5">
        <v>61</v>
      </c>
      <c r="G361" s="5">
        <v>20</v>
      </c>
      <c r="H361" s="5">
        <v>20</v>
      </c>
      <c r="I361" s="751"/>
      <c r="L361" s="7"/>
    </row>
    <row r="362" spans="1:12" x14ac:dyDescent="0.25">
      <c r="A362" t="s">
        <v>1332</v>
      </c>
      <c r="B362" t="s">
        <v>2567</v>
      </c>
      <c r="C362" s="2" t="s">
        <v>2637</v>
      </c>
      <c r="D362" s="3" t="s">
        <v>2047</v>
      </c>
      <c r="E362" t="s">
        <v>18</v>
      </c>
      <c r="F362" s="5">
        <v>61</v>
      </c>
      <c r="G362" s="5">
        <v>43</v>
      </c>
      <c r="H362" s="5">
        <v>31</v>
      </c>
      <c r="I362" s="435"/>
      <c r="L362" s="7"/>
    </row>
    <row r="363" spans="1:12" x14ac:dyDescent="0.25">
      <c r="A363" t="s">
        <v>1445</v>
      </c>
      <c r="B363" t="s">
        <v>2567</v>
      </c>
      <c r="C363" s="2" t="s">
        <v>2638</v>
      </c>
      <c r="D363" s="3" t="s">
        <v>2174</v>
      </c>
      <c r="E363" t="s">
        <v>18</v>
      </c>
      <c r="F363" s="5">
        <v>71</v>
      </c>
      <c r="G363" s="5">
        <v>61</v>
      </c>
      <c r="H363" s="5">
        <v>51</v>
      </c>
      <c r="I363" s="692"/>
      <c r="L363" s="7"/>
    </row>
    <row r="364" spans="1:12" x14ac:dyDescent="0.25">
      <c r="A364" t="s">
        <v>1372</v>
      </c>
      <c r="B364" t="s">
        <v>2567</v>
      </c>
      <c r="C364" s="2" t="s">
        <v>2639</v>
      </c>
      <c r="D364" s="3" t="s">
        <v>2096</v>
      </c>
      <c r="E364" t="s">
        <v>18</v>
      </c>
      <c r="F364" s="5">
        <v>74</v>
      </c>
      <c r="G364" s="5">
        <v>54</v>
      </c>
      <c r="H364" s="5">
        <v>33</v>
      </c>
      <c r="I364" s="683"/>
      <c r="L364" s="7"/>
    </row>
    <row r="365" spans="1:12" x14ac:dyDescent="0.25">
      <c r="A365" t="s">
        <v>1999</v>
      </c>
      <c r="B365" t="s">
        <v>2567</v>
      </c>
      <c r="C365" s="2" t="s">
        <v>2640</v>
      </c>
      <c r="D365" s="3" t="s">
        <v>2175</v>
      </c>
      <c r="E365" t="s">
        <v>18</v>
      </c>
      <c r="F365" s="5">
        <v>84</v>
      </c>
      <c r="G365" s="5">
        <v>61</v>
      </c>
      <c r="H365" s="5">
        <v>56</v>
      </c>
      <c r="I365" s="750"/>
      <c r="L365" s="7"/>
    </row>
    <row r="366" spans="1:12" x14ac:dyDescent="0.25">
      <c r="A366" t="s">
        <v>612</v>
      </c>
      <c r="B366" t="s">
        <v>2567</v>
      </c>
      <c r="C366" s="2" t="s">
        <v>613</v>
      </c>
      <c r="D366" s="3" t="s">
        <v>1795</v>
      </c>
      <c r="E366" t="s">
        <v>18</v>
      </c>
      <c r="F366" s="2" t="str">
        <f>LEFT(D366,FIND(",",D366)-1)</f>
        <v>92</v>
      </c>
      <c r="G366" s="2" t="str">
        <f>MID(D366,FIND(",",D366)+1,FIND(",",D366,FIND(",",D366)+1)-FIND(",",D366)-1)</f>
        <v>51</v>
      </c>
      <c r="H366" s="2" t="str">
        <f>RIGHT(D366,LEN(D366)-FIND(",",D366,FIND(",",D366)+1))</f>
        <v>23</v>
      </c>
      <c r="I366" s="252"/>
    </row>
    <row r="367" spans="1:12" x14ac:dyDescent="0.25">
      <c r="A367" t="s">
        <v>600</v>
      </c>
      <c r="B367" t="s">
        <v>2567</v>
      </c>
      <c r="C367" s="2" t="s">
        <v>601</v>
      </c>
      <c r="D367" s="3" t="s">
        <v>1793</v>
      </c>
      <c r="E367" t="s">
        <v>18</v>
      </c>
      <c r="F367" s="2" t="str">
        <f>LEFT(D367,FIND(",",D367)-1)</f>
        <v>92</v>
      </c>
      <c r="G367" s="2" t="str">
        <f>MID(D367,FIND(",",D367)+1,FIND(",",D367,FIND(",",D367)+1)-FIND(",",D367)-1)</f>
        <v>64</v>
      </c>
      <c r="H367" s="2" t="str">
        <f>RIGHT(D367,LEN(D367)-FIND(",",D367,FIND(",",D367)+1))</f>
        <v>51</v>
      </c>
      <c r="I367" s="327"/>
    </row>
    <row r="368" spans="1:12" x14ac:dyDescent="0.25">
      <c r="A368" t="s">
        <v>644</v>
      </c>
      <c r="B368" t="s">
        <v>2567</v>
      </c>
      <c r="C368" s="2" t="s">
        <v>601</v>
      </c>
      <c r="D368" s="3" t="s">
        <v>1793</v>
      </c>
      <c r="E368" t="s">
        <v>18</v>
      </c>
      <c r="F368" s="2" t="str">
        <f>LEFT(D368,FIND(",",D368)-1)</f>
        <v>92</v>
      </c>
      <c r="G368" s="2" t="str">
        <f>MID(D368,FIND(",",D368)+1,FIND(",",D368,FIND(",",D368)+1)-FIND(",",D368)-1)</f>
        <v>64</v>
      </c>
      <c r="H368" s="2" t="str">
        <f>RIGHT(D368,LEN(D368)-FIND(",",D368,FIND(",",D368)+1))</f>
        <v>51</v>
      </c>
      <c r="I368" s="327"/>
    </row>
    <row r="369" spans="1:12" x14ac:dyDescent="0.25">
      <c r="A369" t="s">
        <v>574</v>
      </c>
      <c r="B369" t="s">
        <v>2567</v>
      </c>
      <c r="E369" t="s">
        <v>18</v>
      </c>
      <c r="I369" s="18"/>
    </row>
    <row r="370" spans="1:12" x14ac:dyDescent="0.25">
      <c r="A370" t="s">
        <v>1540</v>
      </c>
      <c r="B370" t="s">
        <v>2567</v>
      </c>
      <c r="D370" s="3" t="s">
        <v>1571</v>
      </c>
      <c r="E370" t="s">
        <v>47</v>
      </c>
      <c r="I370" s="18"/>
    </row>
    <row r="371" spans="1:12" x14ac:dyDescent="0.25">
      <c r="A371" t="s">
        <v>648</v>
      </c>
      <c r="B371" t="s">
        <v>2567</v>
      </c>
      <c r="C371" s="2">
        <v>6400</v>
      </c>
      <c r="D371" s="3" t="s">
        <v>1625</v>
      </c>
      <c r="E371" t="s">
        <v>47</v>
      </c>
      <c r="F371" s="2" t="str">
        <f t="shared" ref="F371:F379" si="66">LEFT(D371,FIND(",",D371)-1)</f>
        <v>0</v>
      </c>
      <c r="G371" s="2" t="str">
        <f t="shared" ref="G371:G379" si="67">MID(D371,FIND(",",D371)+1,FIND(",",D371,FIND(",",D371)+1)-FIND(",",D371)-1)</f>
        <v xml:space="preserve"> 100</v>
      </c>
      <c r="H371" s="2" t="str">
        <f t="shared" ref="H371:H379" si="68">RIGHT(D371,LEN(D371)-FIND(",",D371,FIND(",",D371)+1))</f>
        <v xml:space="preserve"> 0</v>
      </c>
      <c r="I371" s="109"/>
    </row>
    <row r="372" spans="1:12" x14ac:dyDescent="0.25">
      <c r="A372" t="s">
        <v>12</v>
      </c>
      <c r="B372" t="s">
        <v>2567</v>
      </c>
      <c r="C372" s="2">
        <v>8000</v>
      </c>
      <c r="D372" s="3" t="s">
        <v>1624</v>
      </c>
      <c r="E372" t="s">
        <v>47</v>
      </c>
      <c r="F372" s="2" t="str">
        <f t="shared" si="66"/>
        <v>0</v>
      </c>
      <c r="G372" s="2" t="str">
        <f t="shared" si="67"/>
        <v xml:space="preserve"> 128</v>
      </c>
      <c r="H372" s="2" t="str">
        <f t="shared" si="68"/>
        <v xml:space="preserve"> 0</v>
      </c>
      <c r="I372" s="13"/>
    </row>
    <row r="373" spans="1:12" x14ac:dyDescent="0.25">
      <c r="A373" t="s">
        <v>14</v>
      </c>
      <c r="B373" t="s">
        <v>2567</v>
      </c>
      <c r="C373" s="2">
        <v>8080</v>
      </c>
      <c r="D373" s="3" t="s">
        <v>1634</v>
      </c>
      <c r="E373" t="s">
        <v>47</v>
      </c>
      <c r="F373" s="2" t="str">
        <f t="shared" si="66"/>
        <v>0</v>
      </c>
      <c r="G373" s="2" t="str">
        <f t="shared" si="67"/>
        <v xml:space="preserve"> 128</v>
      </c>
      <c r="H373" s="2" t="str">
        <f t="shared" si="68"/>
        <v xml:space="preserve"> 128</v>
      </c>
      <c r="I373" s="25"/>
    </row>
    <row r="374" spans="1:12" x14ac:dyDescent="0.25">
      <c r="A374" t="s">
        <v>1545</v>
      </c>
      <c r="B374" t="s">
        <v>2567</v>
      </c>
      <c r="C374" s="2" t="s">
        <v>528</v>
      </c>
      <c r="D374" s="3" t="s">
        <v>1633</v>
      </c>
      <c r="E374" t="s">
        <v>47</v>
      </c>
      <c r="F374" s="2" t="str">
        <f t="shared" si="66"/>
        <v>0</v>
      </c>
      <c r="G374" s="2" t="str">
        <f t="shared" si="67"/>
        <v xml:space="preserve"> 139</v>
      </c>
      <c r="H374" s="2" t="str">
        <f t="shared" si="68"/>
        <v xml:space="preserve"> 139</v>
      </c>
      <c r="I374" s="111"/>
    </row>
    <row r="375" spans="1:12" x14ac:dyDescent="0.25">
      <c r="A375" t="s">
        <v>685</v>
      </c>
      <c r="B375" t="s">
        <v>2567</v>
      </c>
      <c r="C375" s="2" t="s">
        <v>686</v>
      </c>
      <c r="D375" s="3" t="s">
        <v>1619</v>
      </c>
      <c r="E375" t="s">
        <v>47</v>
      </c>
      <c r="F375" s="2" t="str">
        <f t="shared" si="66"/>
        <v>0</v>
      </c>
      <c r="G375" s="2" t="str">
        <f t="shared" si="67"/>
        <v xml:space="preserve"> 250</v>
      </c>
      <c r="H375" s="2" t="str">
        <f t="shared" si="68"/>
        <v xml:space="preserve"> 154</v>
      </c>
      <c r="I375" s="110"/>
    </row>
    <row r="376" spans="1:12" x14ac:dyDescent="0.25">
      <c r="A376" t="s">
        <v>3</v>
      </c>
      <c r="B376" t="s">
        <v>2567</v>
      </c>
      <c r="C376" s="2" t="s">
        <v>735</v>
      </c>
      <c r="D376" s="3" t="s">
        <v>1615</v>
      </c>
      <c r="E376" t="s">
        <v>47</v>
      </c>
      <c r="F376" s="2" t="str">
        <f t="shared" si="66"/>
        <v>0</v>
      </c>
      <c r="G376" s="2" t="str">
        <f t="shared" si="67"/>
        <v xml:space="preserve"> 255</v>
      </c>
      <c r="H376" s="2" t="str">
        <f t="shared" si="68"/>
        <v xml:space="preserve"> 0</v>
      </c>
      <c r="I376" s="10"/>
    </row>
    <row r="377" spans="1:12" x14ac:dyDescent="0.25">
      <c r="A377" t="s">
        <v>717</v>
      </c>
      <c r="B377" t="s">
        <v>2567</v>
      </c>
      <c r="C377" s="2" t="s">
        <v>718</v>
      </c>
      <c r="D377" s="3" t="s">
        <v>1620</v>
      </c>
      <c r="E377" t="s">
        <v>47</v>
      </c>
      <c r="F377" s="2" t="str">
        <f t="shared" si="66"/>
        <v>0</v>
      </c>
      <c r="G377" s="2" t="str">
        <f t="shared" si="67"/>
        <v xml:space="preserve"> 255</v>
      </c>
      <c r="H377" s="2" t="str">
        <f t="shared" si="68"/>
        <v xml:space="preserve"> 127</v>
      </c>
      <c r="I377" s="121"/>
    </row>
    <row r="378" spans="1:12" x14ac:dyDescent="0.25">
      <c r="A378" t="s">
        <v>46</v>
      </c>
      <c r="B378" t="s">
        <v>2567</v>
      </c>
      <c r="C378" s="2">
        <v>6400</v>
      </c>
      <c r="D378" s="3" t="s">
        <v>1810</v>
      </c>
      <c r="E378" t="s">
        <v>47</v>
      </c>
      <c r="F378" s="2" t="str">
        <f t="shared" si="66"/>
        <v>0</v>
      </c>
      <c r="G378" s="2" t="str">
        <f t="shared" si="67"/>
        <v>100</v>
      </c>
      <c r="H378" s="2" t="str">
        <f t="shared" si="68"/>
        <v>0</v>
      </c>
      <c r="I378" s="109"/>
    </row>
    <row r="379" spans="1:12" x14ac:dyDescent="0.25">
      <c r="A379" t="s">
        <v>648</v>
      </c>
      <c r="B379" t="s">
        <v>2567</v>
      </c>
      <c r="C379" s="2">
        <v>6400</v>
      </c>
      <c r="D379" s="3" t="s">
        <v>1810</v>
      </c>
      <c r="E379" t="s">
        <v>47</v>
      </c>
      <c r="F379" s="2" t="str">
        <f t="shared" si="66"/>
        <v>0</v>
      </c>
      <c r="G379" s="2" t="str">
        <f t="shared" si="67"/>
        <v>100</v>
      </c>
      <c r="H379" s="2" t="str">
        <f t="shared" si="68"/>
        <v>0</v>
      </c>
      <c r="I379" s="109"/>
    </row>
    <row r="380" spans="1:12" x14ac:dyDescent="0.25">
      <c r="A380" t="s">
        <v>1369</v>
      </c>
      <c r="B380" t="s">
        <v>2567</v>
      </c>
      <c r="C380" s="2" t="s">
        <v>2641</v>
      </c>
      <c r="D380" s="3" t="s">
        <v>2093</v>
      </c>
      <c r="E380" t="s">
        <v>47</v>
      </c>
      <c r="F380" s="5">
        <v>0</v>
      </c>
      <c r="G380" s="5">
        <v>107</v>
      </c>
      <c r="H380" s="5">
        <v>61</v>
      </c>
      <c r="I380" s="575"/>
      <c r="L380" s="7"/>
    </row>
    <row r="381" spans="1:12" x14ac:dyDescent="0.25">
      <c r="A381" t="s">
        <v>12</v>
      </c>
      <c r="B381" t="s">
        <v>2567</v>
      </c>
      <c r="C381" s="2">
        <v>8000</v>
      </c>
      <c r="D381" s="3" t="s">
        <v>1836</v>
      </c>
      <c r="E381" t="s">
        <v>47</v>
      </c>
      <c r="F381" s="2" t="str">
        <f t="shared" ref="F381:F387" si="69">LEFT(D381,FIND(",",D381)-1)</f>
        <v>0</v>
      </c>
      <c r="G381" s="2" t="str">
        <f t="shared" ref="G381:G387" si="70">MID(D381,FIND(",",D381)+1,FIND(",",D381,FIND(",",D381)+1)-FIND(",",D381)-1)</f>
        <v>128</v>
      </c>
      <c r="H381" s="2" t="str">
        <f t="shared" ref="H381:H387" si="71">RIGHT(D381,LEN(D381)-FIND(",",D381,FIND(",",D381)+1))</f>
        <v>0</v>
      </c>
      <c r="I381" s="13"/>
    </row>
    <row r="382" spans="1:12" x14ac:dyDescent="0.25">
      <c r="A382" t="s">
        <v>47</v>
      </c>
      <c r="B382" t="s">
        <v>2567</v>
      </c>
      <c r="C382" s="2">
        <v>8000</v>
      </c>
      <c r="D382" s="3" t="s">
        <v>1836</v>
      </c>
      <c r="E382" t="s">
        <v>47</v>
      </c>
      <c r="F382" s="2" t="str">
        <f t="shared" si="69"/>
        <v>0</v>
      </c>
      <c r="G382" s="2" t="str">
        <f t="shared" si="70"/>
        <v>128</v>
      </c>
      <c r="H382" s="2" t="str">
        <f t="shared" si="71"/>
        <v>0</v>
      </c>
      <c r="I382" s="13"/>
    </row>
    <row r="383" spans="1:12" x14ac:dyDescent="0.25">
      <c r="A383" t="s">
        <v>47</v>
      </c>
      <c r="B383" t="s">
        <v>2567</v>
      </c>
      <c r="C383" s="2">
        <v>8000</v>
      </c>
      <c r="D383" s="3" t="s">
        <v>1836</v>
      </c>
      <c r="E383" t="s">
        <v>47</v>
      </c>
      <c r="F383" s="2" t="str">
        <f t="shared" si="69"/>
        <v>0</v>
      </c>
      <c r="G383" s="2" t="str">
        <f t="shared" si="70"/>
        <v>128</v>
      </c>
      <c r="H383" s="2" t="str">
        <f t="shared" si="71"/>
        <v>0</v>
      </c>
      <c r="I383" s="13"/>
    </row>
    <row r="384" spans="1:12" x14ac:dyDescent="0.25">
      <c r="A384" t="s">
        <v>61</v>
      </c>
      <c r="B384" t="s">
        <v>2567</v>
      </c>
      <c r="C384" s="2">
        <v>8080</v>
      </c>
      <c r="D384" s="3" t="s">
        <v>1771</v>
      </c>
      <c r="E384" t="s">
        <v>47</v>
      </c>
      <c r="F384" s="2" t="str">
        <f t="shared" si="69"/>
        <v>0</v>
      </c>
      <c r="G384" s="2" t="str">
        <f t="shared" si="70"/>
        <v>128</v>
      </c>
      <c r="H384" s="2" t="str">
        <f t="shared" si="71"/>
        <v>128</v>
      </c>
      <c r="I384" s="25"/>
    </row>
    <row r="385" spans="1:12" x14ac:dyDescent="0.25">
      <c r="A385" t="s">
        <v>741</v>
      </c>
      <c r="B385" t="s">
        <v>2567</v>
      </c>
      <c r="C385" s="2" t="s">
        <v>742</v>
      </c>
      <c r="D385" s="3" t="s">
        <v>1839</v>
      </c>
      <c r="E385" t="s">
        <v>47</v>
      </c>
      <c r="F385" s="2" t="str">
        <f t="shared" si="69"/>
        <v>0</v>
      </c>
      <c r="G385" s="2" t="str">
        <f t="shared" si="70"/>
        <v>139</v>
      </c>
      <c r="H385" s="2" t="str">
        <f t="shared" si="71"/>
        <v>0</v>
      </c>
      <c r="I385" s="782"/>
    </row>
    <row r="386" spans="1:12" x14ac:dyDescent="0.25">
      <c r="A386" t="s">
        <v>62</v>
      </c>
      <c r="B386" t="s">
        <v>2567</v>
      </c>
      <c r="C386" s="2" t="s">
        <v>528</v>
      </c>
      <c r="D386" s="3" t="s">
        <v>1770</v>
      </c>
      <c r="E386" t="s">
        <v>47</v>
      </c>
      <c r="F386" s="2" t="str">
        <f t="shared" si="69"/>
        <v>0</v>
      </c>
      <c r="G386" s="2" t="str">
        <f t="shared" si="70"/>
        <v>139</v>
      </c>
      <c r="H386" s="2" t="str">
        <f t="shared" si="71"/>
        <v>139</v>
      </c>
      <c r="I386" s="111"/>
    </row>
    <row r="387" spans="1:12" x14ac:dyDescent="0.25">
      <c r="A387" t="s">
        <v>724</v>
      </c>
      <c r="B387" t="s">
        <v>2567</v>
      </c>
      <c r="C387" s="2" t="s">
        <v>725</v>
      </c>
      <c r="D387" s="3" t="s">
        <v>1830</v>
      </c>
      <c r="E387" t="s">
        <v>47</v>
      </c>
      <c r="F387" s="2" t="str">
        <f t="shared" si="69"/>
        <v>0</v>
      </c>
      <c r="G387" s="2" t="str">
        <f t="shared" si="70"/>
        <v>139</v>
      </c>
      <c r="H387" s="2" t="str">
        <f t="shared" si="71"/>
        <v>69</v>
      </c>
      <c r="I387" s="651"/>
    </row>
    <row r="388" spans="1:12" x14ac:dyDescent="0.25">
      <c r="A388" t="s">
        <v>1381</v>
      </c>
      <c r="B388" t="s">
        <v>2567</v>
      </c>
      <c r="C388" s="2" t="s">
        <v>2642</v>
      </c>
      <c r="D388" s="3" t="s">
        <v>2104</v>
      </c>
      <c r="E388" t="s">
        <v>47</v>
      </c>
      <c r="F388" s="5">
        <v>0</v>
      </c>
      <c r="G388" s="5">
        <v>204</v>
      </c>
      <c r="H388" s="5">
        <v>153</v>
      </c>
      <c r="I388" s="684"/>
      <c r="L388" s="7"/>
    </row>
    <row r="389" spans="1:12" x14ac:dyDescent="0.25">
      <c r="A389" t="s">
        <v>739</v>
      </c>
      <c r="B389" t="s">
        <v>2567</v>
      </c>
      <c r="C389" s="2" t="s">
        <v>740</v>
      </c>
      <c r="D389" s="3" t="s">
        <v>1838</v>
      </c>
      <c r="E389" t="s">
        <v>47</v>
      </c>
      <c r="F389" s="2" t="str">
        <f t="shared" ref="F389:F403" si="72">LEFT(D389,FIND(",",D389)-1)</f>
        <v>0</v>
      </c>
      <c r="G389" s="2" t="str">
        <f t="shared" ref="G389:G403" si="73">MID(D389,FIND(",",D389)+1,FIND(",",D389,FIND(",",D389)+1)-FIND(",",D389)-1)</f>
        <v>205</v>
      </c>
      <c r="H389" s="2" t="str">
        <f t="shared" ref="H389:H403" si="74">RIGHT(D389,LEN(D389)-FIND(",",D389,FIND(",",D389)+1))</f>
        <v>0</v>
      </c>
      <c r="I389" s="712"/>
    </row>
    <row r="390" spans="1:12" x14ac:dyDescent="0.25">
      <c r="A390" t="s">
        <v>722</v>
      </c>
      <c r="B390" t="s">
        <v>2567</v>
      </c>
      <c r="C390" s="2" t="s">
        <v>723</v>
      </c>
      <c r="D390" s="3" t="s">
        <v>1829</v>
      </c>
      <c r="E390" t="s">
        <v>47</v>
      </c>
      <c r="F390" s="2" t="str">
        <f t="shared" si="72"/>
        <v>0</v>
      </c>
      <c r="G390" s="2" t="str">
        <f t="shared" si="73"/>
        <v>205</v>
      </c>
      <c r="H390" s="2" t="str">
        <f t="shared" si="74"/>
        <v>102</v>
      </c>
      <c r="I390" s="259"/>
    </row>
    <row r="391" spans="1:12" x14ac:dyDescent="0.25">
      <c r="A391" t="s">
        <v>737</v>
      </c>
      <c r="B391" t="s">
        <v>2567</v>
      </c>
      <c r="C391" s="2" t="s">
        <v>738</v>
      </c>
      <c r="D391" s="3" t="s">
        <v>1837</v>
      </c>
      <c r="E391" t="s">
        <v>47</v>
      </c>
      <c r="F391" s="2" t="str">
        <f t="shared" si="72"/>
        <v>0</v>
      </c>
      <c r="G391" s="2" t="str">
        <f t="shared" si="73"/>
        <v>238</v>
      </c>
      <c r="H391" s="2" t="str">
        <f t="shared" si="74"/>
        <v>0</v>
      </c>
      <c r="I391" s="652"/>
    </row>
    <row r="392" spans="1:12" x14ac:dyDescent="0.25">
      <c r="A392" t="s">
        <v>720</v>
      </c>
      <c r="B392" t="s">
        <v>2567</v>
      </c>
      <c r="C392" s="2" t="s">
        <v>721</v>
      </c>
      <c r="D392" s="3" t="s">
        <v>1828</v>
      </c>
      <c r="E392" t="s">
        <v>47</v>
      </c>
      <c r="F392" s="2" t="str">
        <f t="shared" si="72"/>
        <v>0</v>
      </c>
      <c r="G392" s="2" t="str">
        <f t="shared" si="73"/>
        <v>238</v>
      </c>
      <c r="H392" s="2" t="str">
        <f t="shared" si="74"/>
        <v>118</v>
      </c>
      <c r="I392" s="594"/>
    </row>
    <row r="393" spans="1:12" x14ac:dyDescent="0.25">
      <c r="A393" t="s">
        <v>54</v>
      </c>
      <c r="B393" t="s">
        <v>2567</v>
      </c>
      <c r="C393" s="2" t="s">
        <v>686</v>
      </c>
      <c r="D393" s="3" t="s">
        <v>1819</v>
      </c>
      <c r="E393" t="s">
        <v>47</v>
      </c>
      <c r="F393" s="2" t="str">
        <f t="shared" si="72"/>
        <v>0</v>
      </c>
      <c r="G393" s="2" t="str">
        <f t="shared" si="73"/>
        <v>250</v>
      </c>
      <c r="H393" s="2" t="str">
        <f t="shared" si="74"/>
        <v>154</v>
      </c>
      <c r="I393" s="110"/>
    </row>
    <row r="394" spans="1:12" x14ac:dyDescent="0.25">
      <c r="A394" t="s">
        <v>685</v>
      </c>
      <c r="B394" t="s">
        <v>2567</v>
      </c>
      <c r="C394" s="2" t="s">
        <v>686</v>
      </c>
      <c r="D394" s="3" t="s">
        <v>1819</v>
      </c>
      <c r="E394" t="s">
        <v>47</v>
      </c>
      <c r="F394" s="2" t="str">
        <f t="shared" si="72"/>
        <v>0</v>
      </c>
      <c r="G394" s="2" t="str">
        <f t="shared" si="73"/>
        <v>250</v>
      </c>
      <c r="H394" s="2" t="str">
        <f t="shared" si="74"/>
        <v>154</v>
      </c>
      <c r="I394" s="110"/>
    </row>
    <row r="395" spans="1:12" x14ac:dyDescent="0.25">
      <c r="A395" t="s">
        <v>3</v>
      </c>
      <c r="B395" t="s">
        <v>2567</v>
      </c>
      <c r="C395" s="2" t="s">
        <v>735</v>
      </c>
      <c r="D395" s="3" t="s">
        <v>1835</v>
      </c>
      <c r="E395" t="s">
        <v>47</v>
      </c>
      <c r="F395" s="2" t="str">
        <f t="shared" si="72"/>
        <v>0</v>
      </c>
      <c r="G395" s="2" t="str">
        <f t="shared" si="73"/>
        <v>255</v>
      </c>
      <c r="H395" s="2" t="str">
        <f t="shared" si="74"/>
        <v>0</v>
      </c>
      <c r="I395" s="10"/>
    </row>
    <row r="396" spans="1:12" x14ac:dyDescent="0.25">
      <c r="A396" t="s">
        <v>49</v>
      </c>
      <c r="B396" t="s">
        <v>2567</v>
      </c>
      <c r="C396" s="2" t="s">
        <v>735</v>
      </c>
      <c r="D396" s="3" t="s">
        <v>1835</v>
      </c>
      <c r="E396" t="s">
        <v>47</v>
      </c>
      <c r="F396" s="2" t="str">
        <f t="shared" si="72"/>
        <v>0</v>
      </c>
      <c r="G396" s="2" t="str">
        <f t="shared" si="73"/>
        <v>255</v>
      </c>
      <c r="H396" s="2" t="str">
        <f t="shared" si="74"/>
        <v>0</v>
      </c>
      <c r="I396" s="10"/>
    </row>
    <row r="397" spans="1:12" x14ac:dyDescent="0.25">
      <c r="A397" t="s">
        <v>47</v>
      </c>
      <c r="B397" t="s">
        <v>2567</v>
      </c>
      <c r="C397" s="2" t="s">
        <v>735</v>
      </c>
      <c r="D397" s="3" t="s">
        <v>1835</v>
      </c>
      <c r="E397" t="s">
        <v>47</v>
      </c>
      <c r="F397" s="2" t="str">
        <f t="shared" si="72"/>
        <v>0</v>
      </c>
      <c r="G397" s="2" t="str">
        <f t="shared" si="73"/>
        <v>255</v>
      </c>
      <c r="H397" s="2" t="str">
        <f t="shared" si="74"/>
        <v>0</v>
      </c>
      <c r="I397" s="10"/>
    </row>
    <row r="398" spans="1:12" x14ac:dyDescent="0.25">
      <c r="A398" t="s">
        <v>49</v>
      </c>
      <c r="B398" t="s">
        <v>2567</v>
      </c>
      <c r="C398" s="2" t="s">
        <v>735</v>
      </c>
      <c r="D398" s="3" t="s">
        <v>1835</v>
      </c>
      <c r="E398" t="s">
        <v>47</v>
      </c>
      <c r="F398" s="2" t="str">
        <f t="shared" si="72"/>
        <v>0</v>
      </c>
      <c r="G398" s="2" t="str">
        <f t="shared" si="73"/>
        <v>255</v>
      </c>
      <c r="H398" s="2" t="str">
        <f t="shared" si="74"/>
        <v>0</v>
      </c>
      <c r="I398" s="10"/>
    </row>
    <row r="399" spans="1:12" x14ac:dyDescent="0.25">
      <c r="A399" t="s">
        <v>736</v>
      </c>
      <c r="B399" t="s">
        <v>2567</v>
      </c>
      <c r="C399" s="2" t="s">
        <v>735</v>
      </c>
      <c r="D399" s="3" t="s">
        <v>1835</v>
      </c>
      <c r="E399" t="s">
        <v>47</v>
      </c>
      <c r="F399" s="2" t="str">
        <f t="shared" si="72"/>
        <v>0</v>
      </c>
      <c r="G399" s="2" t="str">
        <f t="shared" si="73"/>
        <v>255</v>
      </c>
      <c r="H399" s="2" t="str">
        <f t="shared" si="74"/>
        <v>0</v>
      </c>
      <c r="I399" s="10"/>
    </row>
    <row r="400" spans="1:12" x14ac:dyDescent="0.25">
      <c r="A400" t="s">
        <v>55</v>
      </c>
      <c r="B400" t="s">
        <v>2567</v>
      </c>
      <c r="C400" s="2" t="s">
        <v>718</v>
      </c>
      <c r="D400" s="3" t="s">
        <v>1827</v>
      </c>
      <c r="E400" t="s">
        <v>47</v>
      </c>
      <c r="F400" s="2" t="str">
        <f t="shared" si="72"/>
        <v>0</v>
      </c>
      <c r="G400" s="2" t="str">
        <f t="shared" si="73"/>
        <v>255</v>
      </c>
      <c r="H400" s="2" t="str">
        <f t="shared" si="74"/>
        <v>127</v>
      </c>
      <c r="I400" s="121"/>
    </row>
    <row r="401" spans="1:12" x14ac:dyDescent="0.25">
      <c r="A401" t="s">
        <v>717</v>
      </c>
      <c r="B401" t="s">
        <v>2567</v>
      </c>
      <c r="C401" s="2" t="s">
        <v>718</v>
      </c>
      <c r="D401" s="3" t="s">
        <v>1827</v>
      </c>
      <c r="E401" t="s">
        <v>47</v>
      </c>
      <c r="F401" s="2" t="str">
        <f t="shared" si="72"/>
        <v>0</v>
      </c>
      <c r="G401" s="2" t="str">
        <f t="shared" si="73"/>
        <v>255</v>
      </c>
      <c r="H401" s="2" t="str">
        <f t="shared" si="74"/>
        <v>127</v>
      </c>
      <c r="I401" s="121"/>
    </row>
    <row r="402" spans="1:12" x14ac:dyDescent="0.25">
      <c r="A402" t="s">
        <v>719</v>
      </c>
      <c r="B402" t="s">
        <v>2567</v>
      </c>
      <c r="C402" s="2" t="s">
        <v>718</v>
      </c>
      <c r="D402" s="3" t="s">
        <v>1827</v>
      </c>
      <c r="E402" t="s">
        <v>47</v>
      </c>
      <c r="F402" s="2" t="str">
        <f t="shared" si="72"/>
        <v>0</v>
      </c>
      <c r="G402" s="2" t="str">
        <f t="shared" si="73"/>
        <v>255</v>
      </c>
      <c r="H402" s="2" t="str">
        <f t="shared" si="74"/>
        <v>127</v>
      </c>
      <c r="I402" s="121"/>
    </row>
    <row r="403" spans="1:12" x14ac:dyDescent="0.25">
      <c r="A403" t="s">
        <v>766</v>
      </c>
      <c r="B403" t="s">
        <v>2567</v>
      </c>
      <c r="C403" s="2" t="s">
        <v>718</v>
      </c>
      <c r="D403" s="3" t="s">
        <v>1827</v>
      </c>
      <c r="E403" t="s">
        <v>47</v>
      </c>
      <c r="F403" s="2" t="str">
        <f t="shared" si="72"/>
        <v>0</v>
      </c>
      <c r="G403" s="2" t="str">
        <f t="shared" si="73"/>
        <v>255</v>
      </c>
      <c r="H403" s="2" t="str">
        <f t="shared" si="74"/>
        <v>127</v>
      </c>
      <c r="I403" s="121"/>
    </row>
    <row r="404" spans="1:12" x14ac:dyDescent="0.25">
      <c r="A404" t="s">
        <v>1494</v>
      </c>
      <c r="B404" t="s">
        <v>2567</v>
      </c>
      <c r="C404" s="2" t="s">
        <v>2643</v>
      </c>
      <c r="D404" s="3" t="s">
        <v>2217</v>
      </c>
      <c r="E404" t="s">
        <v>47</v>
      </c>
      <c r="F404" s="5">
        <v>0</v>
      </c>
      <c r="G404" s="5">
        <v>255</v>
      </c>
      <c r="H404" s="5">
        <v>64</v>
      </c>
      <c r="I404" s="755"/>
      <c r="L404" s="7"/>
    </row>
    <row r="405" spans="1:12" x14ac:dyDescent="0.25">
      <c r="A405" t="s">
        <v>1465</v>
      </c>
      <c r="B405" t="s">
        <v>2567</v>
      </c>
      <c r="C405" s="2" t="s">
        <v>2644</v>
      </c>
      <c r="D405" s="3" t="s">
        <v>2193</v>
      </c>
      <c r="E405" t="s">
        <v>47</v>
      </c>
      <c r="F405" s="5">
        <v>0</v>
      </c>
      <c r="G405" s="5">
        <v>74</v>
      </c>
      <c r="H405" s="5">
        <v>74</v>
      </c>
      <c r="I405" s="451"/>
      <c r="L405" s="7"/>
    </row>
    <row r="406" spans="1:12" x14ac:dyDescent="0.25">
      <c r="A406" t="s">
        <v>1998</v>
      </c>
      <c r="B406" t="s">
        <v>2567</v>
      </c>
      <c r="C406" s="2">
        <v>6400</v>
      </c>
      <c r="D406" s="3" t="s">
        <v>2171</v>
      </c>
      <c r="E406" t="s">
        <v>47</v>
      </c>
      <c r="F406" s="5">
        <v>0</v>
      </c>
      <c r="G406" s="5">
        <v>99</v>
      </c>
      <c r="H406" s="5">
        <v>0</v>
      </c>
      <c r="I406" s="520"/>
      <c r="L406" s="7"/>
    </row>
    <row r="407" spans="1:12" x14ac:dyDescent="0.25">
      <c r="A407" t="s">
        <v>1544</v>
      </c>
      <c r="B407" t="s">
        <v>2567</v>
      </c>
      <c r="C407" s="2" t="s">
        <v>501</v>
      </c>
      <c r="D407" s="3" t="s">
        <v>1630</v>
      </c>
      <c r="E407" t="s">
        <v>47</v>
      </c>
      <c r="F407" s="2" t="str">
        <f t="shared" ref="F407:F414" si="75">LEFT(D407,FIND(",",D407)-1)</f>
        <v>102</v>
      </c>
      <c r="G407" s="2" t="str">
        <f t="shared" ref="G407:G414" si="76">MID(D407,FIND(",",D407)+1,FIND(",",D407,FIND(",",D407)+1)-FIND(",",D407)-1)</f>
        <v xml:space="preserve"> 205</v>
      </c>
      <c r="H407" s="2" t="str">
        <f t="shared" ref="H407:H414" si="77">RIGHT(D407,LEN(D407)-FIND(",",D407,FIND(",",D407)+1))</f>
        <v xml:space="preserve"> 170</v>
      </c>
      <c r="I407" s="183"/>
    </row>
    <row r="408" spans="1:12" x14ac:dyDescent="0.25">
      <c r="A408" t="s">
        <v>731</v>
      </c>
      <c r="B408" t="s">
        <v>2567</v>
      </c>
      <c r="C408" s="2" t="s">
        <v>732</v>
      </c>
      <c r="D408" s="3" t="s">
        <v>1833</v>
      </c>
      <c r="E408" t="s">
        <v>47</v>
      </c>
      <c r="F408" s="2" t="str">
        <f t="shared" si="75"/>
        <v>102</v>
      </c>
      <c r="G408" s="2" t="str">
        <f t="shared" si="76"/>
        <v>205</v>
      </c>
      <c r="H408" s="2" t="str">
        <f t="shared" si="77"/>
        <v>0</v>
      </c>
      <c r="I408" s="402"/>
    </row>
    <row r="409" spans="1:12" x14ac:dyDescent="0.25">
      <c r="A409" t="s">
        <v>57</v>
      </c>
      <c r="B409" t="s">
        <v>2567</v>
      </c>
      <c r="C409" s="2" t="s">
        <v>501</v>
      </c>
      <c r="D409" s="3" t="s">
        <v>2285</v>
      </c>
      <c r="E409" t="s">
        <v>47</v>
      </c>
      <c r="F409" s="2" t="str">
        <f t="shared" si="75"/>
        <v>102</v>
      </c>
      <c r="G409" s="2" t="str">
        <f t="shared" si="76"/>
        <v>205</v>
      </c>
      <c r="H409" s="2" t="str">
        <f t="shared" si="77"/>
        <v>170</v>
      </c>
      <c r="I409" s="183"/>
    </row>
    <row r="410" spans="1:12" x14ac:dyDescent="0.25">
      <c r="A410" t="s">
        <v>671</v>
      </c>
      <c r="B410" t="s">
        <v>2567</v>
      </c>
      <c r="C410" s="2" t="s">
        <v>672</v>
      </c>
      <c r="D410" s="3" t="s">
        <v>2482</v>
      </c>
      <c r="E410" t="s">
        <v>47</v>
      </c>
      <c r="F410" s="2" t="str">
        <f t="shared" si="75"/>
        <v>105</v>
      </c>
      <c r="G410" s="2" t="str">
        <f t="shared" si="76"/>
        <v>139</v>
      </c>
      <c r="H410" s="2" t="str">
        <f t="shared" si="77"/>
        <v>105</v>
      </c>
      <c r="I410" s="399"/>
    </row>
    <row r="411" spans="1:12" x14ac:dyDescent="0.25">
      <c r="A411" t="s">
        <v>697</v>
      </c>
      <c r="B411" t="s">
        <v>2567</v>
      </c>
      <c r="C411" s="2" t="s">
        <v>698</v>
      </c>
      <c r="D411" s="3" t="s">
        <v>1824</v>
      </c>
      <c r="E411" t="s">
        <v>47</v>
      </c>
      <c r="F411" s="2" t="str">
        <f t="shared" si="75"/>
        <v>105</v>
      </c>
      <c r="G411" s="2" t="str">
        <f t="shared" si="76"/>
        <v>139</v>
      </c>
      <c r="H411" s="2" t="str">
        <f t="shared" si="77"/>
        <v>34</v>
      </c>
      <c r="I411" s="72"/>
    </row>
    <row r="412" spans="1:12" x14ac:dyDescent="0.25">
      <c r="A412" t="s">
        <v>689</v>
      </c>
      <c r="B412" t="s">
        <v>2567</v>
      </c>
      <c r="C412" s="2" t="s">
        <v>690</v>
      </c>
      <c r="D412" s="3" t="s">
        <v>1627</v>
      </c>
      <c r="E412" t="s">
        <v>47</v>
      </c>
      <c r="F412" s="2" t="str">
        <f t="shared" si="75"/>
        <v>107</v>
      </c>
      <c r="G412" s="2" t="str">
        <f t="shared" si="76"/>
        <v xml:space="preserve"> 142</v>
      </c>
      <c r="H412" s="2" t="str">
        <f t="shared" si="77"/>
        <v xml:space="preserve"> 35</v>
      </c>
      <c r="I412" s="213"/>
    </row>
    <row r="413" spans="1:12" x14ac:dyDescent="0.25">
      <c r="A413" t="s">
        <v>42</v>
      </c>
      <c r="B413" t="s">
        <v>2567</v>
      </c>
      <c r="C413" s="2" t="s">
        <v>690</v>
      </c>
      <c r="D413" s="3" t="s">
        <v>1820</v>
      </c>
      <c r="E413" t="s">
        <v>47</v>
      </c>
      <c r="F413" s="2" t="str">
        <f t="shared" si="75"/>
        <v>107</v>
      </c>
      <c r="G413" s="2" t="str">
        <f t="shared" si="76"/>
        <v>142</v>
      </c>
      <c r="H413" s="2" t="str">
        <f t="shared" si="77"/>
        <v>35</v>
      </c>
      <c r="I413" s="213"/>
    </row>
    <row r="414" spans="1:12" x14ac:dyDescent="0.25">
      <c r="A414" t="s">
        <v>689</v>
      </c>
      <c r="B414" t="s">
        <v>2567</v>
      </c>
      <c r="C414" s="2" t="s">
        <v>690</v>
      </c>
      <c r="D414" s="3" t="s">
        <v>1820</v>
      </c>
      <c r="E414" t="s">
        <v>47</v>
      </c>
      <c r="F414" s="2" t="str">
        <f t="shared" si="75"/>
        <v>107</v>
      </c>
      <c r="G414" s="2" t="str">
        <f t="shared" si="76"/>
        <v>142</v>
      </c>
      <c r="H414" s="2" t="str">
        <f t="shared" si="77"/>
        <v>35</v>
      </c>
      <c r="I414" s="213"/>
    </row>
    <row r="415" spans="1:12" x14ac:dyDescent="0.25">
      <c r="A415" t="s">
        <v>1502</v>
      </c>
      <c r="B415" t="s">
        <v>2567</v>
      </c>
      <c r="C415" s="2" t="s">
        <v>2645</v>
      </c>
      <c r="D415" s="3" t="s">
        <v>2224</v>
      </c>
      <c r="E415" t="s">
        <v>47</v>
      </c>
      <c r="F415" s="5">
        <v>107</v>
      </c>
      <c r="G415" s="5">
        <v>84</v>
      </c>
      <c r="H415" s="5">
        <v>31</v>
      </c>
      <c r="I415" s="756"/>
      <c r="L415" s="7"/>
    </row>
    <row r="416" spans="1:12" x14ac:dyDescent="0.25">
      <c r="A416" t="s">
        <v>661</v>
      </c>
      <c r="B416" t="s">
        <v>2567</v>
      </c>
      <c r="C416" s="2" t="s">
        <v>662</v>
      </c>
      <c r="D416" s="3" t="s">
        <v>1813</v>
      </c>
      <c r="E416" t="s">
        <v>47</v>
      </c>
      <c r="F416" s="2" t="str">
        <f>LEFT(D416,FIND(",",D416)-1)</f>
        <v>110</v>
      </c>
      <c r="G416" s="2" t="str">
        <f>MID(D416,FIND(",",D416)+1,FIND(",",D416,FIND(",",D416)+1)-FIND(",",D416)-1)</f>
        <v>139</v>
      </c>
      <c r="H416" s="2" t="str">
        <f>RIGHT(D416,LEN(D416)-FIND(",",D416,FIND(",",D416)+1))</f>
        <v>61</v>
      </c>
      <c r="I416" s="256"/>
    </row>
    <row r="417" spans="1:12" x14ac:dyDescent="0.25">
      <c r="A417" t="s">
        <v>729</v>
      </c>
      <c r="B417" t="s">
        <v>2567</v>
      </c>
      <c r="C417" s="2" t="s">
        <v>730</v>
      </c>
      <c r="D417" s="3" t="s">
        <v>1832</v>
      </c>
      <c r="E417" t="s">
        <v>47</v>
      </c>
      <c r="F417" s="2" t="str">
        <f>LEFT(D417,FIND(",",D417)-1)</f>
        <v>118</v>
      </c>
      <c r="G417" s="2" t="str">
        <f>MID(D417,FIND(",",D417)+1,FIND(",",D417,FIND(",",D417)+1)-FIND(",",D417)-1)</f>
        <v>238</v>
      </c>
      <c r="H417" s="2" t="str">
        <f>RIGHT(D417,LEN(D417)-FIND(",",D417,FIND(",",D417)+1))</f>
        <v>0</v>
      </c>
      <c r="I417" s="332"/>
    </row>
    <row r="418" spans="1:12" x14ac:dyDescent="0.25">
      <c r="A418" t="s">
        <v>1357</v>
      </c>
      <c r="B418" t="s">
        <v>2567</v>
      </c>
      <c r="C418" s="2" t="s">
        <v>2646</v>
      </c>
      <c r="D418" s="3" t="s">
        <v>2081</v>
      </c>
      <c r="E418" t="s">
        <v>47</v>
      </c>
      <c r="F418" s="5">
        <v>122</v>
      </c>
      <c r="G418" s="5">
        <v>181</v>
      </c>
      <c r="H418" s="5">
        <v>97</v>
      </c>
      <c r="I418" s="359"/>
      <c r="L418" s="7"/>
    </row>
    <row r="419" spans="1:12" x14ac:dyDescent="0.25">
      <c r="A419" t="s">
        <v>677</v>
      </c>
      <c r="B419" t="s">
        <v>2567</v>
      </c>
      <c r="C419" s="2" t="s">
        <v>678</v>
      </c>
      <c r="D419" s="3" t="s">
        <v>1614</v>
      </c>
      <c r="E419" t="s">
        <v>47</v>
      </c>
      <c r="F419" s="2" t="str">
        <f t="shared" ref="F419:F431" si="78">LEFT(D419,FIND(",",D419)-1)</f>
        <v>124</v>
      </c>
      <c r="G419" s="2" t="str">
        <f t="shared" ref="G419:G431" si="79">MID(D419,FIND(",",D419)+1,FIND(",",D419,FIND(",",D419)+1)-FIND(",",D419)-1)</f>
        <v xml:space="preserve"> 252</v>
      </c>
      <c r="H419" s="2" t="str">
        <f t="shared" ref="H419:H431" si="80">RIGHT(D419,LEN(D419)-FIND(",",D419,FIND(",",D419)+1))</f>
        <v xml:space="preserve"> 0</v>
      </c>
      <c r="I419" s="547"/>
    </row>
    <row r="420" spans="1:12" x14ac:dyDescent="0.25">
      <c r="A420" t="s">
        <v>705</v>
      </c>
      <c r="B420" t="s">
        <v>2567</v>
      </c>
      <c r="C420" s="2" t="s">
        <v>706</v>
      </c>
      <c r="D420" s="3" t="s">
        <v>2484</v>
      </c>
      <c r="E420" t="s">
        <v>47</v>
      </c>
      <c r="F420" s="2" t="str">
        <f t="shared" si="78"/>
        <v>124</v>
      </c>
      <c r="G420" s="2" t="str">
        <f t="shared" si="79"/>
        <v>205</v>
      </c>
      <c r="H420" s="2" t="str">
        <f t="shared" si="80"/>
        <v>124</v>
      </c>
      <c r="I420" s="711"/>
    </row>
    <row r="421" spans="1:12" x14ac:dyDescent="0.25">
      <c r="A421" t="s">
        <v>43</v>
      </c>
      <c r="B421" t="s">
        <v>2567</v>
      </c>
      <c r="C421" s="2" t="s">
        <v>678</v>
      </c>
      <c r="D421" s="3" t="s">
        <v>1817</v>
      </c>
      <c r="E421" t="s">
        <v>47</v>
      </c>
      <c r="F421" s="2" t="str">
        <f t="shared" si="78"/>
        <v>124</v>
      </c>
      <c r="G421" s="2" t="str">
        <f t="shared" si="79"/>
        <v>252</v>
      </c>
      <c r="H421" s="2" t="str">
        <f t="shared" si="80"/>
        <v>0</v>
      </c>
      <c r="I421" s="547"/>
    </row>
    <row r="422" spans="1:12" x14ac:dyDescent="0.25">
      <c r="A422" t="s">
        <v>677</v>
      </c>
      <c r="B422" t="s">
        <v>2567</v>
      </c>
      <c r="C422" s="2" t="s">
        <v>678</v>
      </c>
      <c r="D422" s="3" t="s">
        <v>1817</v>
      </c>
      <c r="E422" t="s">
        <v>47</v>
      </c>
      <c r="F422" s="2" t="str">
        <f t="shared" si="78"/>
        <v>124</v>
      </c>
      <c r="G422" s="2" t="str">
        <f t="shared" si="79"/>
        <v>252</v>
      </c>
      <c r="H422" s="2" t="str">
        <f t="shared" si="80"/>
        <v>0</v>
      </c>
      <c r="I422" s="547"/>
    </row>
    <row r="423" spans="1:12" x14ac:dyDescent="0.25">
      <c r="A423" t="s">
        <v>1541</v>
      </c>
      <c r="B423" t="s">
        <v>2567</v>
      </c>
      <c r="C423" s="2" t="s">
        <v>727</v>
      </c>
      <c r="D423" s="3" t="s">
        <v>1613</v>
      </c>
      <c r="E423" t="s">
        <v>47</v>
      </c>
      <c r="F423" s="2" t="str">
        <f t="shared" si="78"/>
        <v>127</v>
      </c>
      <c r="G423" s="2" t="str">
        <f t="shared" si="79"/>
        <v xml:space="preserve"> 255</v>
      </c>
      <c r="H423" s="2" t="str">
        <f t="shared" si="80"/>
        <v xml:space="preserve"> 0</v>
      </c>
      <c r="I423" s="74"/>
    </row>
    <row r="424" spans="1:12" x14ac:dyDescent="0.25">
      <c r="A424" t="s">
        <v>44</v>
      </c>
      <c r="B424" t="s">
        <v>2567</v>
      </c>
      <c r="C424" s="2" t="s">
        <v>727</v>
      </c>
      <c r="D424" s="3" t="s">
        <v>1831</v>
      </c>
      <c r="E424" t="s">
        <v>47</v>
      </c>
      <c r="F424" s="2" t="str">
        <f t="shared" si="78"/>
        <v>127</v>
      </c>
      <c r="G424" s="2" t="str">
        <f t="shared" si="79"/>
        <v>255</v>
      </c>
      <c r="H424" s="2" t="str">
        <f t="shared" si="80"/>
        <v>0</v>
      </c>
      <c r="I424" s="74"/>
    </row>
    <row r="425" spans="1:12" x14ac:dyDescent="0.25">
      <c r="A425" t="s">
        <v>44</v>
      </c>
      <c r="B425" t="s">
        <v>2567</v>
      </c>
      <c r="C425" s="2" t="s">
        <v>727</v>
      </c>
      <c r="D425" s="3" t="s">
        <v>1831</v>
      </c>
      <c r="E425" t="s">
        <v>47</v>
      </c>
      <c r="F425" s="2" t="str">
        <f t="shared" si="78"/>
        <v>127</v>
      </c>
      <c r="G425" s="2" t="str">
        <f t="shared" si="79"/>
        <v>255</v>
      </c>
      <c r="H425" s="2" t="str">
        <f t="shared" si="80"/>
        <v>0</v>
      </c>
      <c r="I425" s="74"/>
    </row>
    <row r="426" spans="1:12" x14ac:dyDescent="0.25">
      <c r="A426" t="s">
        <v>728</v>
      </c>
      <c r="B426" t="s">
        <v>2567</v>
      </c>
      <c r="C426" s="2" t="s">
        <v>727</v>
      </c>
      <c r="D426" s="3" t="s">
        <v>1831</v>
      </c>
      <c r="E426" t="s">
        <v>47</v>
      </c>
      <c r="F426" s="2" t="str">
        <f t="shared" si="78"/>
        <v>127</v>
      </c>
      <c r="G426" s="2" t="str">
        <f t="shared" si="79"/>
        <v>255</v>
      </c>
      <c r="H426" s="2" t="str">
        <f t="shared" si="80"/>
        <v>0</v>
      </c>
      <c r="I426" s="74"/>
    </row>
    <row r="427" spans="1:12" x14ac:dyDescent="0.25">
      <c r="A427" t="s">
        <v>763</v>
      </c>
      <c r="B427" t="s">
        <v>2567</v>
      </c>
      <c r="C427" s="2" t="s">
        <v>727</v>
      </c>
      <c r="D427" s="3" t="s">
        <v>1831</v>
      </c>
      <c r="E427" t="s">
        <v>47</v>
      </c>
      <c r="F427" s="2" t="str">
        <f t="shared" si="78"/>
        <v>127</v>
      </c>
      <c r="G427" s="2" t="str">
        <f t="shared" si="79"/>
        <v>255</v>
      </c>
      <c r="H427" s="2" t="str">
        <f t="shared" si="80"/>
        <v>0</v>
      </c>
      <c r="I427" s="74"/>
    </row>
    <row r="428" spans="1:12" x14ac:dyDescent="0.25">
      <c r="A428" t="s">
        <v>11</v>
      </c>
      <c r="B428" t="s">
        <v>2567</v>
      </c>
      <c r="C428" s="2">
        <v>808000</v>
      </c>
      <c r="D428" s="3" t="s">
        <v>1628</v>
      </c>
      <c r="E428" t="s">
        <v>47</v>
      </c>
      <c r="F428" s="2" t="str">
        <f t="shared" si="78"/>
        <v>128</v>
      </c>
      <c r="G428" s="2" t="str">
        <f t="shared" si="79"/>
        <v xml:space="preserve"> 128</v>
      </c>
      <c r="H428" s="2" t="str">
        <f t="shared" si="80"/>
        <v xml:space="preserve"> 0</v>
      </c>
      <c r="I428" s="11"/>
    </row>
    <row r="429" spans="1:12" x14ac:dyDescent="0.25">
      <c r="A429" t="s">
        <v>11</v>
      </c>
      <c r="B429" t="s">
        <v>2567</v>
      </c>
      <c r="C429" s="2">
        <v>808000</v>
      </c>
      <c r="D429" s="3" t="s">
        <v>1814</v>
      </c>
      <c r="E429" t="s">
        <v>47</v>
      </c>
      <c r="F429" s="2" t="str">
        <f t="shared" si="78"/>
        <v>128</v>
      </c>
      <c r="G429" s="2" t="str">
        <f t="shared" si="79"/>
        <v>128</v>
      </c>
      <c r="H429" s="2" t="str">
        <f t="shared" si="80"/>
        <v>0</v>
      </c>
      <c r="I429" s="11"/>
    </row>
    <row r="430" spans="1:12" x14ac:dyDescent="0.25">
      <c r="A430" t="s">
        <v>38</v>
      </c>
      <c r="B430" t="s">
        <v>2567</v>
      </c>
      <c r="C430" s="2">
        <v>808000</v>
      </c>
      <c r="D430" s="3" t="s">
        <v>1814</v>
      </c>
      <c r="E430" t="s">
        <v>47</v>
      </c>
      <c r="F430" s="2" t="str">
        <f t="shared" si="78"/>
        <v>128</v>
      </c>
      <c r="G430" s="2" t="str">
        <f t="shared" si="79"/>
        <v>128</v>
      </c>
      <c r="H430" s="2" t="str">
        <f t="shared" si="80"/>
        <v>0</v>
      </c>
      <c r="I430" s="11"/>
    </row>
    <row r="431" spans="1:12" x14ac:dyDescent="0.25">
      <c r="A431" t="s">
        <v>38</v>
      </c>
      <c r="B431" t="s">
        <v>2567</v>
      </c>
      <c r="C431" s="2">
        <v>808000</v>
      </c>
      <c r="D431" s="3" t="s">
        <v>1814</v>
      </c>
      <c r="E431" t="s">
        <v>47</v>
      </c>
      <c r="F431" s="2" t="str">
        <f t="shared" si="78"/>
        <v>128</v>
      </c>
      <c r="G431" s="2" t="str">
        <f t="shared" si="79"/>
        <v>128</v>
      </c>
      <c r="H431" s="2" t="str">
        <f t="shared" si="80"/>
        <v>0</v>
      </c>
      <c r="I431" s="11"/>
    </row>
    <row r="432" spans="1:12" x14ac:dyDescent="0.25">
      <c r="A432" t="s">
        <v>1992</v>
      </c>
      <c r="B432" t="s">
        <v>2567</v>
      </c>
      <c r="C432" s="2" t="s">
        <v>2647</v>
      </c>
      <c r="D432" s="3" t="s">
        <v>2124</v>
      </c>
      <c r="E432" t="s">
        <v>47</v>
      </c>
      <c r="F432" s="5">
        <v>128</v>
      </c>
      <c r="G432" s="5">
        <v>255</v>
      </c>
      <c r="H432" s="5">
        <v>0</v>
      </c>
      <c r="I432" s="811"/>
      <c r="L432" s="7"/>
    </row>
    <row r="433" spans="1:12" x14ac:dyDescent="0.25">
      <c r="A433" t="s">
        <v>750</v>
      </c>
      <c r="B433" t="s">
        <v>2567</v>
      </c>
      <c r="C433" s="2" t="s">
        <v>751</v>
      </c>
      <c r="D433" s="3" t="s">
        <v>1840</v>
      </c>
      <c r="E433" t="s">
        <v>47</v>
      </c>
      <c r="F433" s="2" t="str">
        <f t="shared" ref="F433:F438" si="81">LEFT(D433,FIND(",",D433)-1)</f>
        <v>139</v>
      </c>
      <c r="G433" s="2" t="str">
        <f t="shared" ref="G433:G438" si="82">MID(D433,FIND(",",D433)+1,FIND(",",D433,FIND(",",D433)+1)-FIND(",",D433)-1)</f>
        <v>134</v>
      </c>
      <c r="H433" s="2" t="str">
        <f t="shared" ref="H433:H438" si="83">RIGHT(D433,LEN(D433)-FIND(",",D433,FIND(",",D433)+1))</f>
        <v>78</v>
      </c>
      <c r="I433" s="75"/>
    </row>
    <row r="434" spans="1:12" x14ac:dyDescent="0.25">
      <c r="A434" t="s">
        <v>756</v>
      </c>
      <c r="B434" t="s">
        <v>2567</v>
      </c>
      <c r="C434" s="2" t="s">
        <v>757</v>
      </c>
      <c r="D434" s="3" t="s">
        <v>1842</v>
      </c>
      <c r="E434" t="s">
        <v>47</v>
      </c>
      <c r="F434" s="2" t="str">
        <f t="shared" si="81"/>
        <v>142</v>
      </c>
      <c r="G434" s="2" t="str">
        <f t="shared" si="82"/>
        <v>35</v>
      </c>
      <c r="H434" s="2" t="str">
        <f t="shared" si="83"/>
        <v>35</v>
      </c>
      <c r="I434" s="82"/>
    </row>
    <row r="435" spans="1:12" x14ac:dyDescent="0.25">
      <c r="A435" t="s">
        <v>663</v>
      </c>
      <c r="B435" t="s">
        <v>2567</v>
      </c>
      <c r="C435" s="2" t="s">
        <v>2648</v>
      </c>
      <c r="D435" s="3" t="s">
        <v>1631</v>
      </c>
      <c r="E435" t="s">
        <v>47</v>
      </c>
      <c r="F435" s="2" t="str">
        <f t="shared" si="81"/>
        <v>143</v>
      </c>
      <c r="G435" s="2" t="str">
        <f t="shared" si="82"/>
        <v xml:space="preserve"> 188</v>
      </c>
      <c r="H435" s="2" t="str">
        <f t="shared" si="83"/>
        <v xml:space="preserve"> 139</v>
      </c>
      <c r="I435" s="825"/>
    </row>
    <row r="436" spans="1:12" x14ac:dyDescent="0.25">
      <c r="A436" t="s">
        <v>53</v>
      </c>
      <c r="B436" t="s">
        <v>2567</v>
      </c>
      <c r="C436" s="2" t="s">
        <v>664</v>
      </c>
      <c r="D436" s="3" t="s">
        <v>2284</v>
      </c>
      <c r="E436" t="s">
        <v>47</v>
      </c>
      <c r="F436" s="2" t="str">
        <f t="shared" si="81"/>
        <v>143</v>
      </c>
      <c r="G436" s="2" t="str">
        <f t="shared" si="82"/>
        <v>188</v>
      </c>
      <c r="H436" s="2" t="str">
        <f t="shared" si="83"/>
        <v>143</v>
      </c>
      <c r="I436" s="24"/>
    </row>
    <row r="437" spans="1:12" x14ac:dyDescent="0.25">
      <c r="A437" t="s">
        <v>663</v>
      </c>
      <c r="B437" t="s">
        <v>2567</v>
      </c>
      <c r="C437" s="2" t="s">
        <v>664</v>
      </c>
      <c r="D437" s="3" t="s">
        <v>2284</v>
      </c>
      <c r="E437" t="s">
        <v>47</v>
      </c>
      <c r="F437" s="2" t="str">
        <f t="shared" si="81"/>
        <v>143</v>
      </c>
      <c r="G437" s="2" t="str">
        <f t="shared" si="82"/>
        <v>188</v>
      </c>
      <c r="H437" s="2" t="str">
        <f t="shared" si="83"/>
        <v>143</v>
      </c>
      <c r="I437" s="24"/>
    </row>
    <row r="438" spans="1:12" x14ac:dyDescent="0.25">
      <c r="A438" t="s">
        <v>764</v>
      </c>
      <c r="B438" t="s">
        <v>2567</v>
      </c>
      <c r="C438" s="2" t="s">
        <v>664</v>
      </c>
      <c r="D438" s="3" t="s">
        <v>2284</v>
      </c>
      <c r="E438" t="s">
        <v>47</v>
      </c>
      <c r="F438" s="2" t="str">
        <f t="shared" si="81"/>
        <v>143</v>
      </c>
      <c r="G438" s="2" t="str">
        <f t="shared" si="82"/>
        <v>188</v>
      </c>
      <c r="H438" s="2" t="str">
        <f t="shared" si="83"/>
        <v>143</v>
      </c>
      <c r="I438" s="24"/>
    </row>
    <row r="439" spans="1:12" x14ac:dyDescent="0.25">
      <c r="A439" t="s">
        <v>1453</v>
      </c>
      <c r="B439" t="s">
        <v>2567</v>
      </c>
      <c r="C439" s="2" t="s">
        <v>664</v>
      </c>
      <c r="D439" s="3" t="s">
        <v>2182</v>
      </c>
      <c r="E439" t="s">
        <v>47</v>
      </c>
      <c r="F439" s="5">
        <v>143</v>
      </c>
      <c r="G439" s="5">
        <v>189</v>
      </c>
      <c r="H439" s="5">
        <v>143</v>
      </c>
      <c r="I439" s="843"/>
      <c r="L439" s="7"/>
    </row>
    <row r="440" spans="1:12" x14ac:dyDescent="0.25">
      <c r="A440" t="s">
        <v>1542</v>
      </c>
      <c r="B440" t="s">
        <v>2567</v>
      </c>
      <c r="C440" s="2" t="s">
        <v>704</v>
      </c>
      <c r="D440" s="3" t="s">
        <v>1618</v>
      </c>
      <c r="E440" t="s">
        <v>47</v>
      </c>
      <c r="F440" s="2" t="str">
        <f>LEFT(D440,FIND(",",D440)-1)</f>
        <v>144</v>
      </c>
      <c r="G440" s="2" t="str">
        <f>MID(D440,FIND(",",D440)+1,FIND(",",D440,FIND(",",D440)+1)-FIND(",",D440)-1)</f>
        <v xml:space="preserve"> 238</v>
      </c>
      <c r="H440" s="2" t="str">
        <f>RIGHT(D440,LEN(D440)-FIND(",",D440,FIND(",",D440)+1))</f>
        <v xml:space="preserve"> 144</v>
      </c>
      <c r="I440" s="310"/>
    </row>
    <row r="441" spans="1:12" x14ac:dyDescent="0.25">
      <c r="A441" t="s">
        <v>51</v>
      </c>
      <c r="B441" t="s">
        <v>2567</v>
      </c>
      <c r="C441" s="2" t="s">
        <v>704</v>
      </c>
      <c r="D441" s="3" t="s">
        <v>2282</v>
      </c>
      <c r="E441" t="s">
        <v>47</v>
      </c>
      <c r="F441" s="2" t="str">
        <f>LEFT(D441,FIND(",",D441)-1)</f>
        <v>144</v>
      </c>
      <c r="G441" s="2" t="str">
        <f>MID(D441,FIND(",",D441)+1,FIND(",",D441,FIND(",",D441)+1)-FIND(",",D441)-1)</f>
        <v>238</v>
      </c>
      <c r="H441" s="2" t="str">
        <f>RIGHT(D441,LEN(D441)-FIND(",",D441,FIND(",",D441)+1))</f>
        <v>144</v>
      </c>
      <c r="I441" s="310"/>
    </row>
    <row r="442" spans="1:12" x14ac:dyDescent="0.25">
      <c r="A442" t="s">
        <v>703</v>
      </c>
      <c r="B442" t="s">
        <v>2567</v>
      </c>
      <c r="C442" s="2" t="s">
        <v>704</v>
      </c>
      <c r="D442" s="3" t="s">
        <v>2282</v>
      </c>
      <c r="E442" t="s">
        <v>47</v>
      </c>
      <c r="F442" s="2" t="str">
        <f>LEFT(D442,FIND(",",D442)-1)</f>
        <v>144</v>
      </c>
      <c r="G442" s="2" t="str">
        <f>MID(D442,FIND(",",D442)+1,FIND(",",D442,FIND(",",D442)+1)-FIND(",",D442)-1)</f>
        <v>238</v>
      </c>
      <c r="H442" s="2" t="str">
        <f>RIGHT(D442,LEN(D442)-FIND(",",D442,FIND(",",D442)+1))</f>
        <v>144</v>
      </c>
      <c r="I442" s="310"/>
    </row>
    <row r="443" spans="1:12" x14ac:dyDescent="0.25">
      <c r="A443" t="s">
        <v>1477</v>
      </c>
      <c r="B443" t="s">
        <v>2567</v>
      </c>
      <c r="C443" s="2">
        <v>967117</v>
      </c>
      <c r="D443" s="3" t="s">
        <v>2048</v>
      </c>
      <c r="E443" t="s">
        <v>47</v>
      </c>
      <c r="F443" s="5">
        <v>150</v>
      </c>
      <c r="G443" s="5">
        <v>112</v>
      </c>
      <c r="H443" s="5">
        <v>23</v>
      </c>
      <c r="I443" s="292"/>
      <c r="L443" s="7"/>
    </row>
    <row r="444" spans="1:12" x14ac:dyDescent="0.25">
      <c r="A444" t="s">
        <v>699</v>
      </c>
      <c r="B444" t="s">
        <v>2567</v>
      </c>
      <c r="C444" s="2" t="s">
        <v>700</v>
      </c>
      <c r="D444" s="3" t="s">
        <v>1617</v>
      </c>
      <c r="E444" t="s">
        <v>47</v>
      </c>
      <c r="F444" s="2" t="str">
        <f t="shared" ref="F444:F452" si="84">LEFT(D444,FIND(",",D444)-1)</f>
        <v>152</v>
      </c>
      <c r="G444" s="2" t="str">
        <f t="shared" ref="G444:G452" si="85">MID(D444,FIND(",",D444)+1,FIND(",",D444,FIND(",",D444)+1)-FIND(",",D444)-1)</f>
        <v xml:space="preserve"> 251</v>
      </c>
      <c r="H444" s="2" t="str">
        <f t="shared" ref="H444:H452" si="86">RIGHT(D444,LEN(D444)-FIND(",",D444,FIND(",",D444)+1))</f>
        <v xml:space="preserve"> 152</v>
      </c>
      <c r="I444" s="382"/>
    </row>
    <row r="445" spans="1:12" x14ac:dyDescent="0.25">
      <c r="A445" t="s">
        <v>52</v>
      </c>
      <c r="B445" t="s">
        <v>2567</v>
      </c>
      <c r="C445" s="2" t="s">
        <v>700</v>
      </c>
      <c r="D445" s="3" t="s">
        <v>2283</v>
      </c>
      <c r="E445" t="s">
        <v>47</v>
      </c>
      <c r="F445" s="2" t="str">
        <f t="shared" si="84"/>
        <v>152</v>
      </c>
      <c r="G445" s="2" t="str">
        <f t="shared" si="85"/>
        <v>251</v>
      </c>
      <c r="H445" s="2" t="str">
        <f t="shared" si="86"/>
        <v>152</v>
      </c>
      <c r="I445" s="382"/>
    </row>
    <row r="446" spans="1:12" x14ac:dyDescent="0.25">
      <c r="A446" t="s">
        <v>699</v>
      </c>
      <c r="B446" t="s">
        <v>2567</v>
      </c>
      <c r="C446" s="2" t="s">
        <v>700</v>
      </c>
      <c r="D446" s="3" t="s">
        <v>2283</v>
      </c>
      <c r="E446" t="s">
        <v>47</v>
      </c>
      <c r="F446" s="2" t="str">
        <f t="shared" si="84"/>
        <v>152</v>
      </c>
      <c r="G446" s="2" t="str">
        <f t="shared" si="85"/>
        <v>251</v>
      </c>
      <c r="H446" s="2" t="str">
        <f t="shared" si="86"/>
        <v>152</v>
      </c>
      <c r="I446" s="382"/>
    </row>
    <row r="447" spans="1:12" x14ac:dyDescent="0.25">
      <c r="A447" t="s">
        <v>726</v>
      </c>
      <c r="B447" t="s">
        <v>2567</v>
      </c>
      <c r="C447" s="2" t="s">
        <v>696</v>
      </c>
      <c r="D447" s="3" t="s">
        <v>1626</v>
      </c>
      <c r="E447" t="s">
        <v>47</v>
      </c>
      <c r="F447" s="2" t="str">
        <f t="shared" si="84"/>
        <v>154</v>
      </c>
      <c r="G447" s="2" t="str">
        <f t="shared" si="85"/>
        <v xml:space="preserve"> 205</v>
      </c>
      <c r="H447" s="2" t="str">
        <f t="shared" si="86"/>
        <v xml:space="preserve"> 50</v>
      </c>
      <c r="I447" s="152"/>
    </row>
    <row r="448" spans="1:12" x14ac:dyDescent="0.25">
      <c r="A448" t="s">
        <v>40</v>
      </c>
      <c r="B448" t="s">
        <v>2567</v>
      </c>
      <c r="C448" s="2" t="s">
        <v>696</v>
      </c>
      <c r="D448" s="3" t="s">
        <v>1823</v>
      </c>
      <c r="E448" t="s">
        <v>47</v>
      </c>
      <c r="F448" s="2" t="str">
        <f t="shared" si="84"/>
        <v>154</v>
      </c>
      <c r="G448" s="2" t="str">
        <f t="shared" si="85"/>
        <v>205</v>
      </c>
      <c r="H448" s="2" t="str">
        <f t="shared" si="86"/>
        <v>50</v>
      </c>
      <c r="I448" s="152"/>
    </row>
    <row r="449" spans="1:12" x14ac:dyDescent="0.25">
      <c r="A449" t="s">
        <v>695</v>
      </c>
      <c r="B449" t="s">
        <v>2567</v>
      </c>
      <c r="C449" s="2" t="s">
        <v>696</v>
      </c>
      <c r="D449" s="3" t="s">
        <v>1823</v>
      </c>
      <c r="E449" t="s">
        <v>47</v>
      </c>
      <c r="F449" s="2" t="str">
        <f t="shared" si="84"/>
        <v>154</v>
      </c>
      <c r="G449" s="2" t="str">
        <f t="shared" si="85"/>
        <v>205</v>
      </c>
      <c r="H449" s="2" t="str">
        <f t="shared" si="86"/>
        <v>50</v>
      </c>
      <c r="I449" s="152"/>
    </row>
    <row r="450" spans="1:12" x14ac:dyDescent="0.25">
      <c r="A450" t="s">
        <v>726</v>
      </c>
      <c r="B450" t="s">
        <v>2567</v>
      </c>
      <c r="C450" s="2" t="s">
        <v>696</v>
      </c>
      <c r="D450" s="3" t="s">
        <v>1823</v>
      </c>
      <c r="E450" t="s">
        <v>47</v>
      </c>
      <c r="F450" s="2" t="str">
        <f t="shared" si="84"/>
        <v>154</v>
      </c>
      <c r="G450" s="2" t="str">
        <f t="shared" si="85"/>
        <v>205</v>
      </c>
      <c r="H450" s="2" t="str">
        <f t="shared" si="86"/>
        <v>50</v>
      </c>
      <c r="I450" s="152"/>
    </row>
    <row r="451" spans="1:12" x14ac:dyDescent="0.25">
      <c r="A451" t="s">
        <v>701</v>
      </c>
      <c r="B451" t="s">
        <v>2567</v>
      </c>
      <c r="C451" s="2" t="s">
        <v>702</v>
      </c>
      <c r="D451" s="3" t="s">
        <v>2483</v>
      </c>
      <c r="E451" t="s">
        <v>47</v>
      </c>
      <c r="F451" s="2" t="str">
        <f t="shared" si="84"/>
        <v>154</v>
      </c>
      <c r="G451" s="2" t="str">
        <f t="shared" si="85"/>
        <v>255</v>
      </c>
      <c r="H451" s="2" t="str">
        <f t="shared" si="86"/>
        <v>154</v>
      </c>
      <c r="I451" s="593"/>
    </row>
    <row r="452" spans="1:12" x14ac:dyDescent="0.25">
      <c r="A452" t="s">
        <v>669</v>
      </c>
      <c r="B452" t="s">
        <v>2567</v>
      </c>
      <c r="C452" s="2" t="s">
        <v>670</v>
      </c>
      <c r="D452" s="3" t="s">
        <v>2481</v>
      </c>
      <c r="E452" t="s">
        <v>47</v>
      </c>
      <c r="F452" s="2" t="str">
        <f t="shared" si="84"/>
        <v>155</v>
      </c>
      <c r="G452" s="2" t="str">
        <f t="shared" si="85"/>
        <v>205</v>
      </c>
      <c r="H452" s="2" t="str">
        <f t="shared" si="86"/>
        <v>155</v>
      </c>
      <c r="I452" s="330"/>
    </row>
    <row r="453" spans="1:12" x14ac:dyDescent="0.25">
      <c r="A453" t="s">
        <v>1410</v>
      </c>
      <c r="B453" t="s">
        <v>2567</v>
      </c>
      <c r="C453" s="2" t="s">
        <v>2649</v>
      </c>
      <c r="D453" s="3" t="s">
        <v>2138</v>
      </c>
      <c r="E453" t="s">
        <v>47</v>
      </c>
      <c r="F453" s="5">
        <v>158</v>
      </c>
      <c r="G453" s="5">
        <v>168</v>
      </c>
      <c r="H453" s="5">
        <v>31</v>
      </c>
      <c r="I453" s="826"/>
      <c r="L453" s="7"/>
    </row>
    <row r="454" spans="1:12" x14ac:dyDescent="0.25">
      <c r="A454" t="s">
        <v>1515</v>
      </c>
      <c r="B454" t="s">
        <v>2567</v>
      </c>
      <c r="C454" s="2" t="s">
        <v>2650</v>
      </c>
      <c r="D454" s="3" t="s">
        <v>2238</v>
      </c>
      <c r="E454" t="s">
        <v>47</v>
      </c>
      <c r="F454" s="5">
        <v>158</v>
      </c>
      <c r="G454" s="5">
        <v>252</v>
      </c>
      <c r="H454" s="5">
        <v>56</v>
      </c>
      <c r="I454" s="845"/>
      <c r="L454" s="7"/>
    </row>
    <row r="455" spans="1:12" x14ac:dyDescent="0.25">
      <c r="A455" t="s">
        <v>659</v>
      </c>
      <c r="B455" t="s">
        <v>2567</v>
      </c>
      <c r="C455" s="2" t="s">
        <v>660</v>
      </c>
      <c r="D455" s="3" t="s">
        <v>1812</v>
      </c>
      <c r="E455" t="s">
        <v>47</v>
      </c>
      <c r="F455" s="2" t="str">
        <f>LEFT(D455,FIND(",",D455)-1)</f>
        <v>162</v>
      </c>
      <c r="G455" s="2" t="str">
        <f>MID(D455,FIND(",",D455)+1,FIND(",",D455,FIND(",",D455)+1)-FIND(",",D455)-1)</f>
        <v>205</v>
      </c>
      <c r="H455" s="2" t="str">
        <f>RIGHT(D455,LEN(D455)-FIND(",",D455,FIND(",",D455)+1))</f>
        <v>90</v>
      </c>
      <c r="I455" s="592"/>
    </row>
    <row r="456" spans="1:12" x14ac:dyDescent="0.25">
      <c r="A456" t="s">
        <v>1389</v>
      </c>
      <c r="B456" t="s">
        <v>2567</v>
      </c>
      <c r="C456" s="2" t="s">
        <v>2651</v>
      </c>
      <c r="D456" s="3" t="s">
        <v>2113</v>
      </c>
      <c r="E456" t="s">
        <v>47</v>
      </c>
      <c r="F456" s="5">
        <v>171</v>
      </c>
      <c r="G456" s="5">
        <v>224</v>
      </c>
      <c r="H456" s="5">
        <v>176</v>
      </c>
      <c r="I456" s="685"/>
      <c r="L456" s="7"/>
    </row>
    <row r="457" spans="1:12" x14ac:dyDescent="0.25">
      <c r="A457" t="s">
        <v>675</v>
      </c>
      <c r="B457" t="s">
        <v>2567</v>
      </c>
      <c r="C457" s="2" t="s">
        <v>676</v>
      </c>
      <c r="D457" s="3" t="s">
        <v>1612</v>
      </c>
      <c r="E457" t="s">
        <v>47</v>
      </c>
      <c r="F457" s="2" t="str">
        <f>LEFT(D457,FIND(",",D457)-1)</f>
        <v>173</v>
      </c>
      <c r="G457" s="2" t="str">
        <f>MID(D457,FIND(",",D457)+1,FIND(",",D457,FIND(",",D457)+1)-FIND(",",D457)-1)</f>
        <v xml:space="preserve"> 255</v>
      </c>
      <c r="H457" s="2" t="str">
        <f>RIGHT(D457,LEN(D457)-FIND(",",D457,FIND(",",D457)+1))</f>
        <v xml:space="preserve"> 47</v>
      </c>
      <c r="I457" s="23"/>
    </row>
    <row r="458" spans="1:12" x14ac:dyDescent="0.25">
      <c r="A458" t="s">
        <v>45</v>
      </c>
      <c r="B458" t="s">
        <v>2567</v>
      </c>
      <c r="C458" s="2" t="s">
        <v>676</v>
      </c>
      <c r="D458" s="3" t="s">
        <v>1816</v>
      </c>
      <c r="E458" t="s">
        <v>47</v>
      </c>
      <c r="F458" s="2" t="str">
        <f>LEFT(D458,FIND(",",D458)-1)</f>
        <v>173</v>
      </c>
      <c r="G458" s="2" t="str">
        <f>MID(D458,FIND(",",D458)+1,FIND(",",D458,FIND(",",D458)+1)-FIND(",",D458)-1)</f>
        <v>255</v>
      </c>
      <c r="H458" s="2" t="str">
        <f>RIGHT(D458,LEN(D458)-FIND(",",D458,FIND(",",D458)+1))</f>
        <v>47</v>
      </c>
      <c r="I458" s="23"/>
    </row>
    <row r="459" spans="1:12" x14ac:dyDescent="0.25">
      <c r="A459" t="s">
        <v>675</v>
      </c>
      <c r="B459" t="s">
        <v>2567</v>
      </c>
      <c r="C459" s="2" t="s">
        <v>676</v>
      </c>
      <c r="D459" s="3" t="s">
        <v>1816</v>
      </c>
      <c r="E459" t="s">
        <v>47</v>
      </c>
      <c r="F459" s="2" t="str">
        <f>LEFT(D459,FIND(",",D459)-1)</f>
        <v>173</v>
      </c>
      <c r="G459" s="2" t="str">
        <f>MID(D459,FIND(",",D459)+1,FIND(",",D459,FIND(",",D459)+1)-FIND(",",D459)-1)</f>
        <v>255</v>
      </c>
      <c r="H459" s="2" t="str">
        <f>RIGHT(D459,LEN(D459)-FIND(",",D459,FIND(",",D459)+1))</f>
        <v>47</v>
      </c>
      <c r="I459" s="23"/>
    </row>
    <row r="460" spans="1:12" x14ac:dyDescent="0.25">
      <c r="A460" t="s">
        <v>1290</v>
      </c>
      <c r="B460" t="s">
        <v>2567</v>
      </c>
      <c r="C460" s="2" t="s">
        <v>2652</v>
      </c>
      <c r="D460" s="3" t="s">
        <v>2003</v>
      </c>
      <c r="E460" t="s">
        <v>47</v>
      </c>
      <c r="F460" s="5">
        <v>176</v>
      </c>
      <c r="G460" s="5">
        <v>191</v>
      </c>
      <c r="H460" s="5">
        <v>26</v>
      </c>
      <c r="I460" s="430"/>
      <c r="L460" s="7"/>
    </row>
    <row r="461" spans="1:12" x14ac:dyDescent="0.25">
      <c r="A461" t="s">
        <v>693</v>
      </c>
      <c r="B461" t="s">
        <v>2567</v>
      </c>
      <c r="C461" s="2" t="s">
        <v>694</v>
      </c>
      <c r="D461" s="3" t="s">
        <v>1822</v>
      </c>
      <c r="E461" t="s">
        <v>47</v>
      </c>
      <c r="F461" s="2" t="str">
        <f>LEFT(D461,FIND(",",D461)-1)</f>
        <v>179</v>
      </c>
      <c r="G461" s="2" t="str">
        <f>MID(D461,FIND(",",D461)+1,FIND(",",D461,FIND(",",D461)+1)-FIND(",",D461)-1)</f>
        <v>238</v>
      </c>
      <c r="H461" s="2" t="str">
        <f>RIGHT(D461,LEN(D461)-FIND(",",D461,FIND(",",D461)+1))</f>
        <v>58</v>
      </c>
      <c r="I461" s="400"/>
    </row>
    <row r="462" spans="1:12" x14ac:dyDescent="0.25">
      <c r="A462" t="s">
        <v>667</v>
      </c>
      <c r="B462" t="s">
        <v>2567</v>
      </c>
      <c r="C462" s="2" t="s">
        <v>668</v>
      </c>
      <c r="D462" s="3" t="s">
        <v>2480</v>
      </c>
      <c r="E462" t="s">
        <v>47</v>
      </c>
      <c r="F462" s="2" t="str">
        <f>LEFT(D462,FIND(",",D462)-1)</f>
        <v>180</v>
      </c>
      <c r="G462" s="2" t="str">
        <f>MID(D462,FIND(",",D462)+1,FIND(",",D462,FIND(",",D462)+1)-FIND(",",D462)-1)</f>
        <v>238</v>
      </c>
      <c r="H462" s="2" t="str">
        <f>RIGHT(D462,LEN(D462)-FIND(",",D462,FIND(",",D462)+1))</f>
        <v>180</v>
      </c>
      <c r="I462" s="781"/>
    </row>
    <row r="463" spans="1:12" x14ac:dyDescent="0.25">
      <c r="A463" t="s">
        <v>657</v>
      </c>
      <c r="B463" t="s">
        <v>2567</v>
      </c>
      <c r="C463" s="2" t="s">
        <v>658</v>
      </c>
      <c r="D463" s="3" t="s">
        <v>2478</v>
      </c>
      <c r="E463" t="s">
        <v>47</v>
      </c>
      <c r="F463" s="2" t="str">
        <f>LEFT(D463,FIND(",",D463)-1)</f>
        <v>188</v>
      </c>
      <c r="G463" s="2" t="str">
        <f>MID(D463,FIND(",",D463)+1,FIND(",",D463,FIND(",",D463)+1)-FIND(",",D463)-1)</f>
        <v>238</v>
      </c>
      <c r="H463" s="2" t="str">
        <f>RIGHT(D463,LEN(D463)-FIND(",",D463,FIND(",",D463)+1))</f>
        <v>104</v>
      </c>
      <c r="I463" s="546"/>
    </row>
    <row r="464" spans="1:12" x14ac:dyDescent="0.25">
      <c r="A464" t="s">
        <v>651</v>
      </c>
      <c r="B464" t="s">
        <v>2567</v>
      </c>
      <c r="C464" s="2" t="s">
        <v>652</v>
      </c>
      <c r="D464" s="3" t="s">
        <v>2280</v>
      </c>
      <c r="E464" t="s">
        <v>47</v>
      </c>
      <c r="F464" s="2" t="str">
        <f>LEFT(D464,FIND(",",D464)-1)</f>
        <v>189</v>
      </c>
      <c r="G464" s="2" t="str">
        <f>MID(D464,FIND(",",D464)+1,FIND(",",D464,FIND(",",D464)+1)-FIND(",",D464)-1)</f>
        <v>183</v>
      </c>
      <c r="H464" s="2" t="str">
        <f>RIGHT(D464,LEN(D464)-FIND(",",D464,FIND(",",D464)+1))</f>
        <v>107</v>
      </c>
      <c r="I464" s="69"/>
    </row>
    <row r="465" spans="1:12" x14ac:dyDescent="0.25">
      <c r="A465" t="s">
        <v>1444</v>
      </c>
      <c r="B465" t="s">
        <v>2567</v>
      </c>
      <c r="C465" s="2" t="s">
        <v>652</v>
      </c>
      <c r="D465" s="3" t="s">
        <v>2173</v>
      </c>
      <c r="E465" t="s">
        <v>47</v>
      </c>
      <c r="F465" s="5">
        <v>189</v>
      </c>
      <c r="G465" s="5">
        <v>184</v>
      </c>
      <c r="H465" s="5">
        <v>107</v>
      </c>
      <c r="I465" s="628"/>
      <c r="L465" s="7"/>
    </row>
    <row r="466" spans="1:12" x14ac:dyDescent="0.25">
      <c r="A466" t="s">
        <v>691</v>
      </c>
      <c r="B466" t="s">
        <v>2567</v>
      </c>
      <c r="C466" s="2" t="s">
        <v>692</v>
      </c>
      <c r="D466" s="3" t="s">
        <v>1821</v>
      </c>
      <c r="E466" t="s">
        <v>47</v>
      </c>
      <c r="F466" s="2" t="str">
        <f>LEFT(D466,FIND(",",D466)-1)</f>
        <v>192</v>
      </c>
      <c r="G466" s="2" t="str">
        <f>MID(D466,FIND(",",D466)+1,FIND(",",D466,FIND(",",D466)+1)-FIND(",",D466)-1)</f>
        <v>255</v>
      </c>
      <c r="H466" s="2" t="str">
        <f>RIGHT(D466,LEN(D466)-FIND(",",D466,FIND(",",D466)+1))</f>
        <v>62</v>
      </c>
      <c r="I466" s="257"/>
    </row>
    <row r="467" spans="1:12" x14ac:dyDescent="0.25">
      <c r="A467" t="s">
        <v>665</v>
      </c>
      <c r="B467" t="s">
        <v>2567</v>
      </c>
      <c r="C467" s="2" t="s">
        <v>666</v>
      </c>
      <c r="D467" s="3" t="s">
        <v>2479</v>
      </c>
      <c r="E467" t="s">
        <v>47</v>
      </c>
      <c r="F467" s="2" t="str">
        <f>LEFT(D467,FIND(",",D467)-1)</f>
        <v>193</v>
      </c>
      <c r="G467" s="2" t="str">
        <f>MID(D467,FIND(",",D467)+1,FIND(",",D467,FIND(",",D467)+1)-FIND(",",D467)-1)</f>
        <v>255</v>
      </c>
      <c r="H467" s="2" t="str">
        <f>RIGHT(D467,LEN(D467)-FIND(",",D467,FIND(",",D467)+1))</f>
        <v>193</v>
      </c>
      <c r="I467" s="70"/>
    </row>
    <row r="468" spans="1:12" x14ac:dyDescent="0.25">
      <c r="A468" t="s">
        <v>769</v>
      </c>
      <c r="B468" t="s">
        <v>2567</v>
      </c>
      <c r="C468" s="2" t="s">
        <v>770</v>
      </c>
      <c r="D468" s="3" t="s">
        <v>2493</v>
      </c>
      <c r="E468" t="s">
        <v>47</v>
      </c>
      <c r="F468" s="2" t="str">
        <f>LEFT(D468,FIND(",",D468)-1)</f>
        <v>2</v>
      </c>
      <c r="G468" s="2" t="str">
        <f>MID(D468,FIND(",",D468)+1,FIND(",",D468,FIND(",",D468)+1)-FIND(",",D468)-1)</f>
        <v>157</v>
      </c>
      <c r="H468" s="2" t="str">
        <f>RIGHT(D468,LEN(D468)-FIND(",",D468,FIND(",",D468)+1))</f>
        <v>116</v>
      </c>
      <c r="I468" s="596"/>
    </row>
    <row r="469" spans="1:12" x14ac:dyDescent="0.25">
      <c r="A469" t="s">
        <v>655</v>
      </c>
      <c r="B469" t="s">
        <v>2567</v>
      </c>
      <c r="C469" s="2" t="s">
        <v>656</v>
      </c>
      <c r="D469" s="3" t="s">
        <v>2477</v>
      </c>
      <c r="E469" t="s">
        <v>47</v>
      </c>
      <c r="F469" s="2" t="str">
        <f>LEFT(D469,FIND(",",D469)-1)</f>
        <v>202</v>
      </c>
      <c r="G469" s="2" t="str">
        <f>MID(D469,FIND(",",D469)+1,FIND(",",D469,FIND(",",D469)+1)-FIND(",",D469)-1)</f>
        <v>255</v>
      </c>
      <c r="H469" s="2" t="str">
        <f>RIGHT(D469,LEN(D469)-FIND(",",D469,FIND(",",D469)+1))</f>
        <v>112</v>
      </c>
      <c r="I469" s="478"/>
    </row>
    <row r="470" spans="1:12" x14ac:dyDescent="0.25">
      <c r="A470" t="s">
        <v>1485</v>
      </c>
      <c r="B470" t="s">
        <v>2567</v>
      </c>
      <c r="C470" s="2" t="s">
        <v>2653</v>
      </c>
      <c r="D470" s="3" t="s">
        <v>2208</v>
      </c>
      <c r="E470" t="s">
        <v>47</v>
      </c>
      <c r="F470" s="5">
        <v>204</v>
      </c>
      <c r="G470" s="5">
        <v>255</v>
      </c>
      <c r="H470" s="5">
        <v>0</v>
      </c>
      <c r="I470" s="844"/>
      <c r="L470" s="7"/>
    </row>
    <row r="471" spans="1:12" x14ac:dyDescent="0.25">
      <c r="A471" t="s">
        <v>748</v>
      </c>
      <c r="B471" t="s">
        <v>2567</v>
      </c>
      <c r="C471" s="2" t="s">
        <v>749</v>
      </c>
      <c r="D471" s="3" t="s">
        <v>2490</v>
      </c>
      <c r="E471" t="s">
        <v>47</v>
      </c>
      <c r="F471" s="2" t="str">
        <f>LEFT(D471,FIND(",",D471)-1)</f>
        <v>205</v>
      </c>
      <c r="G471" s="2" t="str">
        <f>MID(D471,FIND(",",D471)+1,FIND(",",D471,FIND(",",D471)+1)-FIND(",",D471)-1)</f>
        <v>198</v>
      </c>
      <c r="H471" s="2" t="str">
        <f>RIGHT(D471,LEN(D471)-FIND(",",D471,FIND(",",D471)+1))</f>
        <v>115</v>
      </c>
      <c r="I471" s="480"/>
    </row>
    <row r="472" spans="1:12" x14ac:dyDescent="0.25">
      <c r="A472" t="s">
        <v>754</v>
      </c>
      <c r="B472" t="s">
        <v>2567</v>
      </c>
      <c r="C472" s="2" t="s">
        <v>755</v>
      </c>
      <c r="D472" s="3" t="s">
        <v>2491</v>
      </c>
      <c r="E472" t="s">
        <v>47</v>
      </c>
      <c r="F472" s="2" t="str">
        <f>LEFT(D472,FIND(",",D472)-1)</f>
        <v>209</v>
      </c>
      <c r="G472" s="2" t="str">
        <f>MID(D472,FIND(",",D472)+1,FIND(",",D472,FIND(",",D472)+1)-FIND(",",D472)-1)</f>
        <v>146</v>
      </c>
      <c r="H472" s="2" t="str">
        <f>RIGHT(D472,LEN(D472)-FIND(",",D472,FIND(",",D472)+1))</f>
        <v>117</v>
      </c>
      <c r="I472" s="595"/>
    </row>
    <row r="473" spans="1:12" x14ac:dyDescent="0.25">
      <c r="A473" t="s">
        <v>1312</v>
      </c>
      <c r="B473" t="s">
        <v>2567</v>
      </c>
      <c r="C473" s="2" t="s">
        <v>2654</v>
      </c>
      <c r="D473" s="3" t="s">
        <v>2025</v>
      </c>
      <c r="E473" t="s">
        <v>47</v>
      </c>
      <c r="F473" s="5">
        <v>209</v>
      </c>
      <c r="G473" s="5">
        <v>255</v>
      </c>
      <c r="H473" s="5">
        <v>20</v>
      </c>
      <c r="I473" s="675"/>
      <c r="L473" s="7"/>
    </row>
    <row r="474" spans="1:12" x14ac:dyDescent="0.25">
      <c r="A474" t="s">
        <v>759</v>
      </c>
      <c r="B474" t="s">
        <v>2567</v>
      </c>
      <c r="C474" s="2" t="s">
        <v>760</v>
      </c>
      <c r="D474" s="3" t="s">
        <v>2252</v>
      </c>
      <c r="E474" t="s">
        <v>47</v>
      </c>
      <c r="F474" s="2" t="str">
        <f>LEFT(D474,FIND(",",D474)-1)</f>
        <v>219</v>
      </c>
      <c r="G474" s="2" t="str">
        <f>MID(D474,FIND(",",D474)+1,FIND(",",D474,FIND(",",D474)+1)-FIND(",",D474)-1)</f>
        <v>219</v>
      </c>
      <c r="H474" s="2" t="str">
        <f>RIGHT(D474,LEN(D474)-FIND(",",D474,FIND(",",D474)+1))</f>
        <v>112</v>
      </c>
      <c r="I474" s="261"/>
    </row>
    <row r="475" spans="1:12" x14ac:dyDescent="0.25">
      <c r="A475" t="s">
        <v>1458</v>
      </c>
      <c r="B475" t="s">
        <v>2567</v>
      </c>
      <c r="C475" s="2">
        <v>177245</v>
      </c>
      <c r="D475" s="3" t="s">
        <v>2187</v>
      </c>
      <c r="E475" t="s">
        <v>47</v>
      </c>
      <c r="F475" s="5">
        <v>23</v>
      </c>
      <c r="G475" s="5">
        <v>115</v>
      </c>
      <c r="H475" s="5">
        <v>69</v>
      </c>
      <c r="I475" s="522"/>
      <c r="L475" s="7"/>
    </row>
    <row r="476" spans="1:12" x14ac:dyDescent="0.25">
      <c r="A476" t="s">
        <v>746</v>
      </c>
      <c r="B476" t="s">
        <v>2567</v>
      </c>
      <c r="C476" s="2" t="s">
        <v>747</v>
      </c>
      <c r="D476" s="3" t="s">
        <v>2489</v>
      </c>
      <c r="E476" t="s">
        <v>47</v>
      </c>
      <c r="F476" s="2" t="str">
        <f>LEFT(D476,FIND(",",D476)-1)</f>
        <v>238</v>
      </c>
      <c r="G476" s="2" t="str">
        <f>MID(D476,FIND(",",D476)+1,FIND(",",D476,FIND(",",D476)+1)-FIND(",",D476)-1)</f>
        <v>230</v>
      </c>
      <c r="H476" s="2" t="str">
        <f>RIGHT(D476,LEN(D476)-FIND(",",D476,FIND(",",D476)+1))</f>
        <v>133</v>
      </c>
      <c r="I476" s="403"/>
    </row>
    <row r="477" spans="1:12" x14ac:dyDescent="0.25">
      <c r="A477" t="s">
        <v>37</v>
      </c>
      <c r="B477" t="s">
        <v>2567</v>
      </c>
      <c r="C477" s="2" t="s">
        <v>743</v>
      </c>
      <c r="D477" s="3" t="s">
        <v>2281</v>
      </c>
      <c r="E477" t="s">
        <v>47</v>
      </c>
      <c r="F477" s="2" t="str">
        <f>LEFT(D477,FIND(",",D477)-1)</f>
        <v>240</v>
      </c>
      <c r="G477" s="2" t="str">
        <f>MID(D477,FIND(",",D477)+1,FIND(",",D477,FIND(",",D477)+1)-FIND(",",D477)-1)</f>
        <v>230</v>
      </c>
      <c r="H477" s="2" t="str">
        <f>RIGHT(D477,LEN(D477)-FIND(",",D477,FIND(",",D477)+1))</f>
        <v>140</v>
      </c>
      <c r="I477" s="22"/>
    </row>
    <row r="478" spans="1:12" x14ac:dyDescent="0.25">
      <c r="A478" t="s">
        <v>687</v>
      </c>
      <c r="B478" t="s">
        <v>2567</v>
      </c>
      <c r="C478" s="2" t="s">
        <v>688</v>
      </c>
      <c r="D478" s="3" t="s">
        <v>2325</v>
      </c>
      <c r="E478" t="s">
        <v>47</v>
      </c>
      <c r="F478" s="2" t="str">
        <f>LEFT(D478,FIND(",",D478)-1)</f>
        <v>245</v>
      </c>
      <c r="G478" s="2" t="str">
        <f>MID(D478,FIND(",",D478)+1,FIND(",",D478,FIND(",",D478)+1)-FIND(",",D478)-1)</f>
        <v>255</v>
      </c>
      <c r="H478" s="2" t="str">
        <f>RIGHT(D478,LEN(D478)-FIND(",",D478,FIND(",",D478)+1))</f>
        <v>250</v>
      </c>
      <c r="I478" s="313"/>
    </row>
    <row r="479" spans="1:12" x14ac:dyDescent="0.25">
      <c r="A479" t="s">
        <v>744</v>
      </c>
      <c r="B479" t="s">
        <v>2567</v>
      </c>
      <c r="C479" s="2" t="s">
        <v>745</v>
      </c>
      <c r="D479" s="3" t="s">
        <v>2488</v>
      </c>
      <c r="E479" t="s">
        <v>47</v>
      </c>
      <c r="F479" s="2" t="str">
        <f>LEFT(D479,FIND(",",D479)-1)</f>
        <v>255</v>
      </c>
      <c r="G479" s="2" t="str">
        <f>MID(D479,FIND(",",D479)+1,FIND(",",D479,FIND(",",D479)+1)-FIND(",",D479)-1)</f>
        <v>246</v>
      </c>
      <c r="H479" s="2" t="str">
        <f>RIGHT(D479,LEN(D479)-FIND(",",D479,FIND(",",D479)+1))</f>
        <v>143</v>
      </c>
      <c r="I479" s="260"/>
    </row>
    <row r="480" spans="1:12" x14ac:dyDescent="0.25">
      <c r="A480" t="s">
        <v>39</v>
      </c>
      <c r="B480" t="s">
        <v>2567</v>
      </c>
      <c r="C480" s="2" t="s">
        <v>1244</v>
      </c>
      <c r="D480" s="3" t="s">
        <v>1958</v>
      </c>
      <c r="E480" t="s">
        <v>47</v>
      </c>
      <c r="F480" s="2" t="str">
        <f>LEFT(D480,FIND(",",D480)-1)</f>
        <v>255</v>
      </c>
      <c r="G480" s="2" t="str">
        <f>MID(D480,FIND(",",D480)+1,FIND(",",D480,FIND(",",D480)+1)-FIND(",",D480)-1)</f>
        <v>255</v>
      </c>
      <c r="H480" s="2" t="str">
        <f>RIGHT(D480,LEN(D480)-FIND(",",D480,FIND(",",D480)+1))</f>
        <v>0</v>
      </c>
      <c r="I480" s="14"/>
    </row>
    <row r="481" spans="1:12" x14ac:dyDescent="0.25">
      <c r="A481" t="s">
        <v>1443</v>
      </c>
      <c r="B481" t="s">
        <v>2567</v>
      </c>
      <c r="C481" s="2" t="s">
        <v>2655</v>
      </c>
      <c r="D481" s="3" t="s">
        <v>2172</v>
      </c>
      <c r="E481" t="s">
        <v>47</v>
      </c>
      <c r="F481" s="5">
        <v>26</v>
      </c>
      <c r="G481" s="5">
        <v>36</v>
      </c>
      <c r="H481" s="5">
        <v>33</v>
      </c>
      <c r="I481" s="837"/>
      <c r="L481" s="7"/>
    </row>
    <row r="482" spans="1:12" x14ac:dyDescent="0.25">
      <c r="A482" t="s">
        <v>679</v>
      </c>
      <c r="B482" t="s">
        <v>2567</v>
      </c>
      <c r="C482" s="2" t="s">
        <v>680</v>
      </c>
      <c r="D482" s="3" t="s">
        <v>1632</v>
      </c>
      <c r="E482" t="s">
        <v>47</v>
      </c>
      <c r="F482" s="2" t="str">
        <f>LEFT(D482,FIND(",",D482)-1)</f>
        <v>32</v>
      </c>
      <c r="G482" s="2" t="str">
        <f>MID(D482,FIND(",",D482)+1,FIND(",",D482,FIND(",",D482)+1)-FIND(",",D482)-1)</f>
        <v xml:space="preserve"> 178</v>
      </c>
      <c r="H482" s="2" t="str">
        <f>RIGHT(D482,LEN(D482)-FIND(",",D482,FIND(",",D482)+1))</f>
        <v xml:space="preserve"> 170</v>
      </c>
      <c r="I482" s="459"/>
    </row>
    <row r="483" spans="1:12" x14ac:dyDescent="0.25">
      <c r="A483" t="s">
        <v>59</v>
      </c>
      <c r="B483" t="s">
        <v>2567</v>
      </c>
      <c r="C483" s="2" t="s">
        <v>680</v>
      </c>
      <c r="D483" s="3" t="s">
        <v>2287</v>
      </c>
      <c r="E483" t="s">
        <v>47</v>
      </c>
      <c r="F483" s="2" t="str">
        <f>LEFT(D483,FIND(",",D483)-1)</f>
        <v>32</v>
      </c>
      <c r="G483" s="2" t="str">
        <f>MID(D483,FIND(",",D483)+1,FIND(",",D483,FIND(",",D483)+1)-FIND(",",D483)-1)</f>
        <v>178</v>
      </c>
      <c r="H483" s="2" t="str">
        <f>RIGHT(D483,LEN(D483)-FIND(",",D483,FIND(",",D483)+1))</f>
        <v>170</v>
      </c>
      <c r="I483" s="459"/>
    </row>
    <row r="484" spans="1:12" x14ac:dyDescent="0.25">
      <c r="A484" t="s">
        <v>679</v>
      </c>
      <c r="B484" t="s">
        <v>2567</v>
      </c>
      <c r="C484" s="2" t="s">
        <v>680</v>
      </c>
      <c r="D484" s="3" t="s">
        <v>2287</v>
      </c>
      <c r="E484" t="s">
        <v>47</v>
      </c>
      <c r="F484" s="2" t="str">
        <f>LEFT(D484,FIND(",",D484)-1)</f>
        <v>32</v>
      </c>
      <c r="G484" s="2" t="str">
        <f>MID(D484,FIND(",",D484)+1,FIND(",",D484,FIND(",",D484)+1)-FIND(",",D484)-1)</f>
        <v>178</v>
      </c>
      <c r="H484" s="2" t="str">
        <f>RIGHT(D484,LEN(D484)-FIND(",",D484,FIND(",",D484)+1))</f>
        <v>170</v>
      </c>
      <c r="I484" s="459"/>
    </row>
    <row r="485" spans="1:12" x14ac:dyDescent="0.25">
      <c r="A485" t="s">
        <v>2000</v>
      </c>
      <c r="B485" t="s">
        <v>2567</v>
      </c>
      <c r="C485" s="2" t="s">
        <v>674</v>
      </c>
      <c r="D485" s="3" t="s">
        <v>2233</v>
      </c>
      <c r="E485" t="s">
        <v>47</v>
      </c>
      <c r="F485" s="5">
        <v>33</v>
      </c>
      <c r="G485" s="5">
        <v>140</v>
      </c>
      <c r="H485" s="5">
        <v>33</v>
      </c>
      <c r="I485" s="820"/>
      <c r="L485" s="7"/>
    </row>
    <row r="486" spans="1:12" x14ac:dyDescent="0.25">
      <c r="A486" t="s">
        <v>673</v>
      </c>
      <c r="B486" t="s">
        <v>2567</v>
      </c>
      <c r="C486" s="2" t="s">
        <v>674</v>
      </c>
      <c r="D486" s="3" t="s">
        <v>1623</v>
      </c>
      <c r="E486" t="s">
        <v>47</v>
      </c>
      <c r="F486" s="2" t="str">
        <f t="shared" ref="F486:F498" si="87">LEFT(D486,FIND(",",D486)-1)</f>
        <v>34</v>
      </c>
      <c r="G486" s="2" t="str">
        <f t="shared" ref="G486:G498" si="88">MID(D486,FIND(",",D486)+1,FIND(",",D486,FIND(",",D486)+1)-FIND(",",D486)-1)</f>
        <v xml:space="preserve"> 139</v>
      </c>
      <c r="H486" s="2" t="str">
        <f t="shared" ref="H486:H498" si="89">RIGHT(D486,LEN(D486)-FIND(",",D486,FIND(",",D486)+1))</f>
        <v xml:space="preserve"> 34</v>
      </c>
      <c r="I486" s="153"/>
    </row>
    <row r="487" spans="1:12" x14ac:dyDescent="0.25">
      <c r="A487" t="s">
        <v>48</v>
      </c>
      <c r="B487" t="s">
        <v>2567</v>
      </c>
      <c r="C487" s="2" t="s">
        <v>674</v>
      </c>
      <c r="D487" s="3" t="s">
        <v>1815</v>
      </c>
      <c r="E487" t="s">
        <v>47</v>
      </c>
      <c r="F487" s="2" t="str">
        <f t="shared" si="87"/>
        <v>34</v>
      </c>
      <c r="G487" s="2" t="str">
        <f t="shared" si="88"/>
        <v>139</v>
      </c>
      <c r="H487" s="2" t="str">
        <f t="shared" si="89"/>
        <v>34</v>
      </c>
      <c r="I487" s="153"/>
    </row>
    <row r="488" spans="1:12" x14ac:dyDescent="0.25">
      <c r="A488" t="s">
        <v>673</v>
      </c>
      <c r="B488" t="s">
        <v>2567</v>
      </c>
      <c r="C488" s="2" t="s">
        <v>674</v>
      </c>
      <c r="D488" s="3" t="s">
        <v>1815</v>
      </c>
      <c r="E488" t="s">
        <v>47</v>
      </c>
      <c r="F488" s="2" t="str">
        <f t="shared" si="87"/>
        <v>34</v>
      </c>
      <c r="G488" s="2" t="str">
        <f t="shared" si="88"/>
        <v>139</v>
      </c>
      <c r="H488" s="2" t="str">
        <f t="shared" si="89"/>
        <v>34</v>
      </c>
      <c r="I488" s="153"/>
    </row>
    <row r="489" spans="1:12" x14ac:dyDescent="0.25">
      <c r="A489" t="s">
        <v>765</v>
      </c>
      <c r="B489" t="s">
        <v>2567</v>
      </c>
      <c r="C489" s="2">
        <v>2.3799999999999999E+70</v>
      </c>
      <c r="D489" s="3" t="s">
        <v>2492</v>
      </c>
      <c r="E489" t="s">
        <v>47</v>
      </c>
      <c r="F489" s="2" t="str">
        <f t="shared" si="87"/>
        <v>35</v>
      </c>
      <c r="G489" s="2" t="str">
        <f t="shared" si="88"/>
        <v>142</v>
      </c>
      <c r="H489" s="2" t="str">
        <f t="shared" si="89"/>
        <v>104</v>
      </c>
      <c r="I489" s="404"/>
    </row>
    <row r="490" spans="1:12" x14ac:dyDescent="0.25">
      <c r="A490" t="s">
        <v>758</v>
      </c>
      <c r="B490" t="s">
        <v>2567</v>
      </c>
      <c r="C490" s="2">
        <v>2.3799999999999999E+25</v>
      </c>
      <c r="D490" s="3" t="s">
        <v>1843</v>
      </c>
      <c r="E490" t="s">
        <v>47</v>
      </c>
      <c r="F490" s="2" t="str">
        <f t="shared" si="87"/>
        <v>35</v>
      </c>
      <c r="G490" s="2" t="str">
        <f t="shared" si="88"/>
        <v>142</v>
      </c>
      <c r="H490" s="2" t="str">
        <f t="shared" si="89"/>
        <v>35</v>
      </c>
      <c r="I490" s="713"/>
    </row>
    <row r="491" spans="1:12" x14ac:dyDescent="0.25">
      <c r="A491" t="s">
        <v>1543</v>
      </c>
      <c r="B491" t="s">
        <v>2567</v>
      </c>
      <c r="C491" s="2" t="s">
        <v>710</v>
      </c>
      <c r="D491" s="3" t="s">
        <v>1622</v>
      </c>
      <c r="E491" t="s">
        <v>47</v>
      </c>
      <c r="F491" s="2" t="str">
        <f t="shared" si="87"/>
        <v>46</v>
      </c>
      <c r="G491" s="2" t="str">
        <f t="shared" si="88"/>
        <v xml:space="preserve"> 139</v>
      </c>
      <c r="H491" s="2" t="str">
        <f t="shared" si="89"/>
        <v xml:space="preserve"> 87</v>
      </c>
      <c r="I491" s="154"/>
    </row>
    <row r="492" spans="1:12" x14ac:dyDescent="0.25">
      <c r="A492" t="s">
        <v>56</v>
      </c>
      <c r="B492" t="s">
        <v>2567</v>
      </c>
      <c r="C492" s="2" t="s">
        <v>710</v>
      </c>
      <c r="D492" s="3" t="s">
        <v>1826</v>
      </c>
      <c r="E492" t="s">
        <v>47</v>
      </c>
      <c r="F492" s="2" t="str">
        <f t="shared" si="87"/>
        <v>46</v>
      </c>
      <c r="G492" s="2" t="str">
        <f t="shared" si="88"/>
        <v>139</v>
      </c>
      <c r="H492" s="2" t="str">
        <f t="shared" si="89"/>
        <v>87</v>
      </c>
      <c r="I492" s="154"/>
    </row>
    <row r="493" spans="1:12" x14ac:dyDescent="0.25">
      <c r="A493" t="s">
        <v>709</v>
      </c>
      <c r="B493" t="s">
        <v>2567</v>
      </c>
      <c r="C493" s="2" t="s">
        <v>710</v>
      </c>
      <c r="D493" s="3" t="s">
        <v>1826</v>
      </c>
      <c r="E493" t="s">
        <v>47</v>
      </c>
      <c r="F493" s="2" t="str">
        <f t="shared" si="87"/>
        <v>46</v>
      </c>
      <c r="G493" s="2" t="str">
        <f t="shared" si="88"/>
        <v>139</v>
      </c>
      <c r="H493" s="2" t="str">
        <f t="shared" si="89"/>
        <v>87</v>
      </c>
      <c r="I493" s="154"/>
    </row>
    <row r="494" spans="1:12" x14ac:dyDescent="0.25">
      <c r="A494" t="s">
        <v>646</v>
      </c>
      <c r="B494" t="s">
        <v>2567</v>
      </c>
      <c r="C494" s="2" t="s">
        <v>647</v>
      </c>
      <c r="D494" s="3" t="s">
        <v>1809</v>
      </c>
      <c r="E494" t="s">
        <v>47</v>
      </c>
      <c r="F494" s="2" t="str">
        <f t="shared" si="87"/>
        <v>47</v>
      </c>
      <c r="G494" s="2" t="str">
        <f t="shared" si="88"/>
        <v>79</v>
      </c>
      <c r="H494" s="2" t="str">
        <f t="shared" si="89"/>
        <v>47</v>
      </c>
      <c r="I494" s="255"/>
    </row>
    <row r="495" spans="1:12" x14ac:dyDescent="0.25">
      <c r="A495" t="s">
        <v>60</v>
      </c>
      <c r="B495" t="s">
        <v>2567</v>
      </c>
      <c r="C495" s="2" t="s">
        <v>340</v>
      </c>
      <c r="D495" s="3" t="s">
        <v>1744</v>
      </c>
      <c r="E495" t="s">
        <v>47</v>
      </c>
      <c r="F495" s="2" t="str">
        <f t="shared" si="87"/>
        <v>47</v>
      </c>
      <c r="G495" s="2" t="str">
        <f t="shared" si="88"/>
        <v>79</v>
      </c>
      <c r="H495" s="2" t="str">
        <f t="shared" si="89"/>
        <v>79</v>
      </c>
      <c r="I495" s="237"/>
    </row>
    <row r="496" spans="1:12" x14ac:dyDescent="0.25">
      <c r="A496" t="s">
        <v>681</v>
      </c>
      <c r="B496" t="s">
        <v>2567</v>
      </c>
      <c r="C496" s="2" t="s">
        <v>682</v>
      </c>
      <c r="D496" s="3" t="s">
        <v>1616</v>
      </c>
      <c r="E496" t="s">
        <v>47</v>
      </c>
      <c r="F496" s="2" t="str">
        <f t="shared" si="87"/>
        <v>50</v>
      </c>
      <c r="G496" s="2" t="str">
        <f t="shared" si="88"/>
        <v xml:space="preserve"> 205</v>
      </c>
      <c r="H496" s="2" t="str">
        <f t="shared" si="89"/>
        <v xml:space="preserve"> 50</v>
      </c>
      <c r="I496" s="71"/>
    </row>
    <row r="497" spans="1:12" x14ac:dyDescent="0.25">
      <c r="A497" t="s">
        <v>50</v>
      </c>
      <c r="B497" t="s">
        <v>2567</v>
      </c>
      <c r="C497" s="2" t="s">
        <v>682</v>
      </c>
      <c r="D497" s="3" t="s">
        <v>1818</v>
      </c>
      <c r="E497" t="s">
        <v>47</v>
      </c>
      <c r="F497" s="2" t="str">
        <f t="shared" si="87"/>
        <v>50</v>
      </c>
      <c r="G497" s="2" t="str">
        <f t="shared" si="88"/>
        <v>205</v>
      </c>
      <c r="H497" s="2" t="str">
        <f t="shared" si="89"/>
        <v>50</v>
      </c>
      <c r="I497" s="71"/>
    </row>
    <row r="498" spans="1:12" x14ac:dyDescent="0.25">
      <c r="A498" t="s">
        <v>681</v>
      </c>
      <c r="B498" t="s">
        <v>2567</v>
      </c>
      <c r="C498" s="2" t="s">
        <v>682</v>
      </c>
      <c r="D498" s="3" t="s">
        <v>1818</v>
      </c>
      <c r="E498" t="s">
        <v>47</v>
      </c>
      <c r="F498" s="2" t="str">
        <f t="shared" si="87"/>
        <v>50</v>
      </c>
      <c r="G498" s="2" t="str">
        <f t="shared" si="88"/>
        <v>205</v>
      </c>
      <c r="H498" s="2" t="str">
        <f t="shared" si="89"/>
        <v>50</v>
      </c>
      <c r="I498" s="71"/>
    </row>
    <row r="499" spans="1:12" x14ac:dyDescent="0.25">
      <c r="A499" t="s">
        <v>1301</v>
      </c>
      <c r="B499" t="s">
        <v>2567</v>
      </c>
      <c r="C499" s="2" t="s">
        <v>2656</v>
      </c>
      <c r="D499" s="3" t="s">
        <v>2014</v>
      </c>
      <c r="E499" t="s">
        <v>47</v>
      </c>
      <c r="F499" s="5">
        <v>59</v>
      </c>
      <c r="G499" s="5">
        <v>122</v>
      </c>
      <c r="H499" s="5">
        <v>87</v>
      </c>
      <c r="I499" s="568"/>
      <c r="L499" s="7"/>
    </row>
    <row r="500" spans="1:12" x14ac:dyDescent="0.25">
      <c r="A500" t="s">
        <v>683</v>
      </c>
      <c r="B500" t="s">
        <v>2567</v>
      </c>
      <c r="C500" s="2" t="s">
        <v>684</v>
      </c>
      <c r="D500" s="3" t="s">
        <v>1621</v>
      </c>
      <c r="E500" t="s">
        <v>47</v>
      </c>
      <c r="F500" s="2" t="str">
        <f>LEFT(D500,FIND(",",D500)-1)</f>
        <v>60</v>
      </c>
      <c r="G500" s="2" t="str">
        <f>MID(D500,FIND(",",D500)+1,FIND(",",D500,FIND(",",D500)+1)-FIND(",",D500)-1)</f>
        <v xml:space="preserve"> 179</v>
      </c>
      <c r="H500" s="2" t="str">
        <f>RIGHT(D500,LEN(D500)-FIND(",",D500,FIND(",",D500)+1))</f>
        <v xml:space="preserve"> 113</v>
      </c>
      <c r="I500" s="214"/>
    </row>
    <row r="501" spans="1:12" x14ac:dyDescent="0.25">
      <c r="A501" t="s">
        <v>58</v>
      </c>
      <c r="B501" t="s">
        <v>2567</v>
      </c>
      <c r="C501" s="2" t="s">
        <v>684</v>
      </c>
      <c r="D501" s="3" t="s">
        <v>2286</v>
      </c>
      <c r="E501" t="s">
        <v>47</v>
      </c>
      <c r="F501" s="2" t="str">
        <f>LEFT(D501,FIND(",",D501)-1)</f>
        <v>60</v>
      </c>
      <c r="G501" s="2" t="str">
        <f>MID(D501,FIND(",",D501)+1,FIND(",",D501,FIND(",",D501)+1)-FIND(",",D501)-1)</f>
        <v>179</v>
      </c>
      <c r="H501" s="2" t="str">
        <f>RIGHT(D501,LEN(D501)-FIND(",",D501,FIND(",",D501)+1))</f>
        <v>113</v>
      </c>
      <c r="I501" s="214"/>
    </row>
    <row r="502" spans="1:12" x14ac:dyDescent="0.25">
      <c r="A502" t="s">
        <v>683</v>
      </c>
      <c r="B502" t="s">
        <v>2567</v>
      </c>
      <c r="C502" s="2" t="s">
        <v>684</v>
      </c>
      <c r="D502" s="3" t="s">
        <v>2286</v>
      </c>
      <c r="E502" t="s">
        <v>47</v>
      </c>
      <c r="F502" s="2" t="str">
        <f>LEFT(D502,FIND(",",D502)-1)</f>
        <v>60</v>
      </c>
      <c r="G502" s="2" t="str">
        <f>MID(D502,FIND(",",D502)+1,FIND(",",D502,FIND(",",D502)+1)-FIND(",",D502)-1)</f>
        <v>179</v>
      </c>
      <c r="H502" s="2" t="str">
        <f>RIGHT(D502,LEN(D502)-FIND(",",D502,FIND(",",D502)+1))</f>
        <v>113</v>
      </c>
      <c r="I502" s="214"/>
    </row>
    <row r="503" spans="1:12" x14ac:dyDescent="0.25">
      <c r="A503" t="s">
        <v>1304</v>
      </c>
      <c r="B503" t="s">
        <v>2567</v>
      </c>
      <c r="C503" s="2" t="s">
        <v>2657</v>
      </c>
      <c r="D503" s="3" t="s">
        <v>2017</v>
      </c>
      <c r="E503" t="s">
        <v>47</v>
      </c>
      <c r="F503" s="5">
        <v>61</v>
      </c>
      <c r="G503" s="5">
        <v>219</v>
      </c>
      <c r="H503" s="5">
        <v>135</v>
      </c>
      <c r="I503" s="289"/>
      <c r="L503" s="7"/>
    </row>
    <row r="504" spans="1:12" x14ac:dyDescent="0.25">
      <c r="A504" t="s">
        <v>761</v>
      </c>
      <c r="B504" t="s">
        <v>2567</v>
      </c>
      <c r="C504" s="2" t="s">
        <v>762</v>
      </c>
      <c r="D504" s="3" t="s">
        <v>1844</v>
      </c>
      <c r="E504" t="s">
        <v>47</v>
      </c>
      <c r="F504" s="2" t="str">
        <f>LEFT(D504,FIND(",",D504)-1)</f>
        <v>66</v>
      </c>
      <c r="G504" s="2" t="str">
        <f>MID(D504,FIND(",",D504)+1,FIND(",",D504,FIND(",",D504)+1)-FIND(",",D504)-1)</f>
        <v>111</v>
      </c>
      <c r="H504" s="2" t="str">
        <f>RIGHT(D504,LEN(D504)-FIND(",",D504,FIND(",",D504)+1))</f>
        <v>66</v>
      </c>
      <c r="I504" s="783"/>
    </row>
    <row r="505" spans="1:12" x14ac:dyDescent="0.25">
      <c r="A505" t="s">
        <v>715</v>
      </c>
      <c r="B505" t="s">
        <v>2567</v>
      </c>
      <c r="C505" s="2" t="s">
        <v>716</v>
      </c>
      <c r="D505" s="3" t="s">
        <v>2487</v>
      </c>
      <c r="E505" t="s">
        <v>47</v>
      </c>
      <c r="F505" s="2" t="str">
        <f>LEFT(D505,FIND(",",D505)-1)</f>
        <v>67</v>
      </c>
      <c r="G505" s="2" t="str">
        <f>MID(D505,FIND(",",D505)+1,FIND(",",D505,FIND(",",D505)+1)-FIND(",",D505)-1)</f>
        <v>205</v>
      </c>
      <c r="H505" s="2" t="str">
        <f>RIGHT(D505,LEN(D505)-FIND(",",D505,FIND(",",D505)+1))</f>
        <v>128</v>
      </c>
      <c r="I505" s="401"/>
    </row>
    <row r="506" spans="1:12" x14ac:dyDescent="0.25">
      <c r="A506" t="s">
        <v>733</v>
      </c>
      <c r="B506" t="s">
        <v>2567</v>
      </c>
      <c r="C506" s="2" t="s">
        <v>734</v>
      </c>
      <c r="D506" s="3" t="s">
        <v>1834</v>
      </c>
      <c r="E506" t="s">
        <v>47</v>
      </c>
      <c r="F506" s="2" t="str">
        <f>LEFT(D506,FIND(",",D506)-1)</f>
        <v>69</v>
      </c>
      <c r="G506" s="2" t="str">
        <f>MID(D506,FIND(",",D506)+1,FIND(",",D506,FIND(",",D506)+1)-FIND(",",D506)-1)</f>
        <v>139</v>
      </c>
      <c r="H506" s="2" t="str">
        <f>RIGHT(D506,LEN(D506)-FIND(",",D506,FIND(",",D506)+1))</f>
        <v>0</v>
      </c>
      <c r="I506" s="479"/>
    </row>
    <row r="507" spans="1:12" x14ac:dyDescent="0.25">
      <c r="A507" t="s">
        <v>1313</v>
      </c>
      <c r="B507" t="s">
        <v>2567</v>
      </c>
      <c r="C507" s="2" t="s">
        <v>2658</v>
      </c>
      <c r="D507" s="3" t="s">
        <v>2026</v>
      </c>
      <c r="E507" t="s">
        <v>47</v>
      </c>
      <c r="F507" s="5">
        <v>74</v>
      </c>
      <c r="G507" s="5">
        <v>112</v>
      </c>
      <c r="H507" s="5">
        <v>69</v>
      </c>
      <c r="I507" s="734"/>
      <c r="L507" s="7"/>
    </row>
    <row r="508" spans="1:12" x14ac:dyDescent="0.25">
      <c r="A508" t="s">
        <v>649</v>
      </c>
      <c r="B508" t="s">
        <v>2567</v>
      </c>
      <c r="C508" s="2" t="s">
        <v>650</v>
      </c>
      <c r="D508" s="3" t="s">
        <v>2476</v>
      </c>
      <c r="E508" t="s">
        <v>47</v>
      </c>
      <c r="F508" s="2" t="str">
        <f>LEFT(D508,FIND(",",D508)-1)</f>
        <v>74</v>
      </c>
      <c r="G508" s="2" t="str">
        <f>MID(D508,FIND(",",D508)+1,FIND(",",D508,FIND(",",D508)+1)-FIND(",",D508)-1)</f>
        <v>118</v>
      </c>
      <c r="H508" s="2" t="str">
        <f>RIGHT(D508,LEN(D508)-FIND(",",D508,FIND(",",D508)+1))</f>
        <v>110</v>
      </c>
      <c r="I508" s="329"/>
    </row>
    <row r="509" spans="1:12" x14ac:dyDescent="0.25">
      <c r="A509" t="s">
        <v>713</v>
      </c>
      <c r="B509" t="s">
        <v>2567</v>
      </c>
      <c r="C509" s="2" t="s">
        <v>714</v>
      </c>
      <c r="D509" s="3" t="s">
        <v>2486</v>
      </c>
      <c r="E509" t="s">
        <v>47</v>
      </c>
      <c r="F509" s="2" t="str">
        <f>LEFT(D509,FIND(",",D509)-1)</f>
        <v>78</v>
      </c>
      <c r="G509" s="2" t="str">
        <f>MID(D509,FIND(",",D509)+1,FIND(",",D509,FIND(",",D509)+1)-FIND(",",D509)-1)</f>
        <v>238</v>
      </c>
      <c r="H509" s="2" t="str">
        <f>RIGHT(D509,LEN(D509)-FIND(",",D509,FIND(",",D509)+1))</f>
        <v>148</v>
      </c>
      <c r="I509" s="73"/>
    </row>
    <row r="510" spans="1:12" x14ac:dyDescent="0.25">
      <c r="A510" t="s">
        <v>1501</v>
      </c>
      <c r="B510" t="s">
        <v>2567</v>
      </c>
      <c r="C510" s="2" t="s">
        <v>2659</v>
      </c>
      <c r="D510" s="3" t="s">
        <v>2223</v>
      </c>
      <c r="E510" t="s">
        <v>47</v>
      </c>
      <c r="F510" s="5">
        <v>79</v>
      </c>
      <c r="G510" s="5">
        <v>120</v>
      </c>
      <c r="H510" s="5">
        <v>66</v>
      </c>
      <c r="I510" s="834"/>
      <c r="L510" s="7"/>
    </row>
    <row r="511" spans="1:12" x14ac:dyDescent="0.25">
      <c r="A511" t="s">
        <v>1488</v>
      </c>
      <c r="B511" t="s">
        <v>2567</v>
      </c>
      <c r="C511" s="2" t="s">
        <v>2660</v>
      </c>
      <c r="D511" s="3" t="s">
        <v>2211</v>
      </c>
      <c r="E511" t="s">
        <v>47</v>
      </c>
      <c r="F511" s="5">
        <v>79</v>
      </c>
      <c r="G511" s="5">
        <v>199</v>
      </c>
      <c r="H511" s="5">
        <v>120</v>
      </c>
      <c r="I511" s="374"/>
      <c r="L511" s="7"/>
    </row>
    <row r="512" spans="1:12" x14ac:dyDescent="0.25">
      <c r="A512" t="s">
        <v>752</v>
      </c>
      <c r="B512" t="s">
        <v>2567</v>
      </c>
      <c r="C512" s="2" t="s">
        <v>753</v>
      </c>
      <c r="D512" s="3" t="s">
        <v>1841</v>
      </c>
      <c r="E512" t="s">
        <v>47</v>
      </c>
      <c r="F512" s="2" t="str">
        <f>LEFT(D512,FIND(",",D512)-1)</f>
        <v>79</v>
      </c>
      <c r="G512" s="2" t="str">
        <f>MID(D512,FIND(",",D512)+1,FIND(",",D512,FIND(",",D512)+1)-FIND(",",D512)-1)</f>
        <v>79</v>
      </c>
      <c r="H512" s="2" t="str">
        <f>RIGHT(D512,LEN(D512)-FIND(",",D512,FIND(",",D512)+1))</f>
        <v>47</v>
      </c>
      <c r="I512" s="548"/>
    </row>
    <row r="513" spans="1:12" x14ac:dyDescent="0.25">
      <c r="A513" t="s">
        <v>1447</v>
      </c>
      <c r="B513" t="s">
        <v>2567</v>
      </c>
      <c r="C513" s="2" t="s">
        <v>654</v>
      </c>
      <c r="D513" s="3" t="s">
        <v>2177</v>
      </c>
      <c r="E513" t="s">
        <v>47</v>
      </c>
      <c r="F513" s="5">
        <v>84</v>
      </c>
      <c r="G513" s="5">
        <v>107</v>
      </c>
      <c r="H513" s="5">
        <v>46</v>
      </c>
      <c r="I513" s="369"/>
      <c r="L513" s="7"/>
    </row>
    <row r="514" spans="1:12" x14ac:dyDescent="0.25">
      <c r="A514" t="s">
        <v>707</v>
      </c>
      <c r="B514" t="s">
        <v>2567</v>
      </c>
      <c r="C514" s="2" t="s">
        <v>708</v>
      </c>
      <c r="D514" s="3" t="s">
        <v>1825</v>
      </c>
      <c r="E514" t="s">
        <v>47</v>
      </c>
      <c r="F514" s="2" t="str">
        <f t="shared" ref="F514:F519" si="90">LEFT(D514,FIND(",",D514)-1)</f>
        <v>84</v>
      </c>
      <c r="G514" s="2" t="str">
        <f t="shared" ref="G514:G519" si="91">MID(D514,FIND(",",D514)+1,FIND(",",D514,FIND(",",D514)+1)-FIND(",",D514)-1)</f>
        <v>139</v>
      </c>
      <c r="H514" s="2" t="str">
        <f t="shared" ref="H514:H519" si="92">RIGHT(D514,LEN(D514)-FIND(",",D514,FIND(",",D514)+1))</f>
        <v>84</v>
      </c>
      <c r="I514" s="258"/>
    </row>
    <row r="515" spans="1:12" x14ac:dyDescent="0.25">
      <c r="A515" t="s">
        <v>711</v>
      </c>
      <c r="B515" t="s">
        <v>2567</v>
      </c>
      <c r="C515" s="2" t="s">
        <v>712</v>
      </c>
      <c r="D515" s="3" t="s">
        <v>2485</v>
      </c>
      <c r="E515" t="s">
        <v>47</v>
      </c>
      <c r="F515" s="2" t="str">
        <f t="shared" si="90"/>
        <v>84</v>
      </c>
      <c r="G515" s="2" t="str">
        <f t="shared" si="91"/>
        <v>255</v>
      </c>
      <c r="H515" s="2" t="str">
        <f t="shared" si="92"/>
        <v>159</v>
      </c>
      <c r="I515" s="331"/>
    </row>
    <row r="516" spans="1:12" x14ac:dyDescent="0.25">
      <c r="A516" t="s">
        <v>653</v>
      </c>
      <c r="B516" t="s">
        <v>2567</v>
      </c>
      <c r="C516" s="2" t="s">
        <v>654</v>
      </c>
      <c r="D516" s="3" t="s">
        <v>1629</v>
      </c>
      <c r="E516" t="s">
        <v>47</v>
      </c>
      <c r="F516" s="2" t="str">
        <f t="shared" si="90"/>
        <v>85</v>
      </c>
      <c r="G516" s="2" t="str">
        <f t="shared" si="91"/>
        <v xml:space="preserve"> 107</v>
      </c>
      <c r="H516" s="2" t="str">
        <f t="shared" si="92"/>
        <v xml:space="preserve"> 47</v>
      </c>
      <c r="I516" s="182"/>
    </row>
    <row r="517" spans="1:12" x14ac:dyDescent="0.25">
      <c r="A517" t="s">
        <v>41</v>
      </c>
      <c r="B517" t="s">
        <v>2567</v>
      </c>
      <c r="C517" s="2" t="s">
        <v>654</v>
      </c>
      <c r="D517" s="3" t="s">
        <v>1811</v>
      </c>
      <c r="E517" t="s">
        <v>47</v>
      </c>
      <c r="F517" s="2" t="str">
        <f t="shared" si="90"/>
        <v>85</v>
      </c>
      <c r="G517" s="2" t="str">
        <f t="shared" si="91"/>
        <v>107</v>
      </c>
      <c r="H517" s="2" t="str">
        <f t="shared" si="92"/>
        <v>47</v>
      </c>
      <c r="I517" s="182"/>
    </row>
    <row r="518" spans="1:12" x14ac:dyDescent="0.25">
      <c r="A518" t="s">
        <v>653</v>
      </c>
      <c r="B518" t="s">
        <v>2567</v>
      </c>
      <c r="C518" s="2" t="s">
        <v>654</v>
      </c>
      <c r="D518" s="3" t="s">
        <v>1811</v>
      </c>
      <c r="E518" t="s">
        <v>47</v>
      </c>
      <c r="F518" s="2" t="str">
        <f t="shared" si="90"/>
        <v>85</v>
      </c>
      <c r="G518" s="2" t="str">
        <f t="shared" si="91"/>
        <v>107</v>
      </c>
      <c r="H518" s="2" t="str">
        <f t="shared" si="92"/>
        <v>47</v>
      </c>
      <c r="I518" s="182"/>
    </row>
    <row r="519" spans="1:12" x14ac:dyDescent="0.25">
      <c r="A519" t="s">
        <v>767</v>
      </c>
      <c r="B519" t="s">
        <v>2567</v>
      </c>
      <c r="C519" s="2" t="s">
        <v>768</v>
      </c>
      <c r="D519" s="3" t="s">
        <v>1845</v>
      </c>
      <c r="E519" t="s">
        <v>47</v>
      </c>
      <c r="F519" s="2" t="str">
        <f t="shared" si="90"/>
        <v>9</v>
      </c>
      <c r="G519" s="2" t="str">
        <f t="shared" si="91"/>
        <v>249</v>
      </c>
      <c r="H519" s="2" t="str">
        <f t="shared" si="92"/>
        <v>17</v>
      </c>
      <c r="I519" s="549"/>
    </row>
    <row r="520" spans="1:12" x14ac:dyDescent="0.25">
      <c r="A520" t="s">
        <v>645</v>
      </c>
      <c r="B520" t="s">
        <v>2567</v>
      </c>
      <c r="E520" t="s">
        <v>47</v>
      </c>
      <c r="I520" s="18"/>
    </row>
    <row r="521" spans="1:12" x14ac:dyDescent="0.25">
      <c r="A521" t="s">
        <v>1558</v>
      </c>
      <c r="B521" t="s">
        <v>2567</v>
      </c>
      <c r="D521" s="3" t="s">
        <v>1571</v>
      </c>
      <c r="E521" t="s">
        <v>158</v>
      </c>
      <c r="I521" s="18"/>
    </row>
    <row r="522" spans="1:12" x14ac:dyDescent="0.25">
      <c r="A522" t="s">
        <v>0</v>
      </c>
      <c r="B522" t="s">
        <v>2567</v>
      </c>
      <c r="C522" s="2">
        <v>0</v>
      </c>
      <c r="D522" s="3" t="s">
        <v>1701</v>
      </c>
      <c r="E522" t="s">
        <v>158</v>
      </c>
      <c r="F522" s="2" t="str">
        <f>LEFT(D522,FIND(",",D522)-1)</f>
        <v>0</v>
      </c>
      <c r="G522" s="2" t="str">
        <f>MID(D522,FIND(",",D522)+1,FIND(",",D522,FIND(",",D522)+1)-FIND(",",D522)-1)</f>
        <v xml:space="preserve"> 0</v>
      </c>
      <c r="H522" s="2" t="str">
        <f>RIGHT(D522,LEN(D522)-FIND(",",D522,FIND(",",D522)+1))</f>
        <v xml:space="preserve"> 0</v>
      </c>
      <c r="I522" s="6"/>
    </row>
    <row r="523" spans="1:12" x14ac:dyDescent="0.25">
      <c r="A523" t="s">
        <v>0</v>
      </c>
      <c r="B523" t="s">
        <v>2567</v>
      </c>
      <c r="C523" s="2">
        <v>0</v>
      </c>
      <c r="D523" s="3" t="s">
        <v>1703</v>
      </c>
      <c r="E523" t="s">
        <v>158</v>
      </c>
      <c r="F523" s="2" t="str">
        <f>LEFT(D523,FIND(",",D523)-1)</f>
        <v>0</v>
      </c>
      <c r="G523" s="2" t="str">
        <f>MID(D523,FIND(",",D523)+1,FIND(",",D523,FIND(",",D523)+1)-FIND(",",D523)-1)</f>
        <v>0</v>
      </c>
      <c r="H523" s="2" t="str">
        <f>RIGHT(D523,LEN(D523)-FIND(",",D523,FIND(",",D523)+1))</f>
        <v>0</v>
      </c>
      <c r="I523" s="6"/>
    </row>
    <row r="524" spans="1:12" x14ac:dyDescent="0.25">
      <c r="A524" t="s">
        <v>146</v>
      </c>
      <c r="B524" t="s">
        <v>2567</v>
      </c>
      <c r="C524" s="2">
        <v>0</v>
      </c>
      <c r="D524" s="3" t="s">
        <v>1703</v>
      </c>
      <c r="E524" t="s">
        <v>158</v>
      </c>
      <c r="F524" s="2" t="str">
        <f>LEFT(D524,FIND(",",D524)-1)</f>
        <v>0</v>
      </c>
      <c r="G524" s="2" t="str">
        <f>MID(D524,FIND(",",D524)+1,FIND(",",D524,FIND(",",D524)+1)-FIND(",",D524)-1)</f>
        <v>0</v>
      </c>
      <c r="H524" s="2" t="str">
        <f>RIGHT(D524,LEN(D524)-FIND(",",D524,FIND(",",D524)+1))</f>
        <v>0</v>
      </c>
      <c r="I524" s="6"/>
    </row>
    <row r="525" spans="1:12" x14ac:dyDescent="0.25">
      <c r="A525" t="s">
        <v>146</v>
      </c>
      <c r="B525" t="s">
        <v>2567</v>
      </c>
      <c r="C525" s="2">
        <v>0</v>
      </c>
      <c r="D525" s="3" t="s">
        <v>1703</v>
      </c>
      <c r="E525" t="s">
        <v>158</v>
      </c>
      <c r="F525" s="2" t="str">
        <f>LEFT(D525,FIND(",",D525)-1)</f>
        <v>0</v>
      </c>
      <c r="G525" s="2" t="str">
        <f>MID(D525,FIND(",",D525)+1,FIND(",",D525,FIND(",",D525)+1)-FIND(",",D525)-1)</f>
        <v>0</v>
      </c>
      <c r="H525" s="2" t="str">
        <f>RIGHT(D525,LEN(D525)-FIND(",",D525,FIND(",",D525)+1))</f>
        <v>0</v>
      </c>
      <c r="I525" s="6"/>
    </row>
    <row r="526" spans="1:12" x14ac:dyDescent="0.25">
      <c r="A526" t="s">
        <v>172</v>
      </c>
      <c r="B526" t="s">
        <v>2567</v>
      </c>
      <c r="C526" s="2">
        <v>0</v>
      </c>
      <c r="D526" s="3" t="s">
        <v>1703</v>
      </c>
      <c r="E526" t="s">
        <v>158</v>
      </c>
      <c r="F526" s="2" t="str">
        <f>LEFT(D526,FIND(",",D526)-1)</f>
        <v>0</v>
      </c>
      <c r="G526" s="2" t="str">
        <f>MID(D526,FIND(",",D526)+1,FIND(",",D526,FIND(",",D526)+1)-FIND(",",D526)-1)</f>
        <v>0</v>
      </c>
      <c r="H526" s="2" t="str">
        <f>RIGHT(D526,LEN(D526)-FIND(",",D526,FIND(",",D526)+1))</f>
        <v>0</v>
      </c>
      <c r="I526" s="6"/>
    </row>
    <row r="527" spans="1:12" x14ac:dyDescent="0.25">
      <c r="A527" t="s">
        <v>0</v>
      </c>
      <c r="B527" t="s">
        <v>2567</v>
      </c>
      <c r="C527" s="2">
        <v>0</v>
      </c>
      <c r="D527" s="3" t="s">
        <v>1703</v>
      </c>
      <c r="E527" t="s">
        <v>158</v>
      </c>
      <c r="F527" s="5">
        <v>0</v>
      </c>
      <c r="G527" s="5">
        <v>0</v>
      </c>
      <c r="H527" s="5">
        <v>0</v>
      </c>
      <c r="I527" s="6"/>
      <c r="L527" s="7"/>
    </row>
    <row r="528" spans="1:12" x14ac:dyDescent="0.25">
      <c r="A528" t="s">
        <v>176</v>
      </c>
      <c r="B528" t="s">
        <v>2567</v>
      </c>
      <c r="C528" s="2" t="s">
        <v>177</v>
      </c>
      <c r="D528" s="3" t="s">
        <v>1707</v>
      </c>
      <c r="E528" t="s">
        <v>158</v>
      </c>
      <c r="F528" s="2" t="str">
        <f>LEFT(D528,FIND(",",D528)-1)</f>
        <v>10</v>
      </c>
      <c r="G528" s="2" t="str">
        <f>MID(D528,FIND(",",D528)+1,FIND(",",D528,FIND(",",D528)+1)-FIND(",",D528)-1)</f>
        <v>10</v>
      </c>
      <c r="H528" s="2" t="str">
        <f>RIGHT(D528,LEN(D528)-FIND(",",D528,FIND(",",D528)+1))</f>
        <v>10</v>
      </c>
      <c r="I528" s="224"/>
    </row>
    <row r="529" spans="1:12" x14ac:dyDescent="0.25">
      <c r="A529" t="s">
        <v>227</v>
      </c>
      <c r="B529" t="s">
        <v>2567</v>
      </c>
      <c r="C529" s="2">
        <v>666666</v>
      </c>
      <c r="D529" s="3" t="s">
        <v>2343</v>
      </c>
      <c r="E529" t="s">
        <v>158</v>
      </c>
      <c r="F529" s="2" t="str">
        <f>LEFT(D529,FIND(",",D529)-1)</f>
        <v>102</v>
      </c>
      <c r="G529" s="2" t="str">
        <f>MID(D529,FIND(",",D529)+1,FIND(",",D529,FIND(",",D529)+1)-FIND(",",D529)-1)</f>
        <v>102</v>
      </c>
      <c r="H529" s="2" t="str">
        <f>RIGHT(D529,LEN(D529)-FIND(",",D529,FIND(",",D529)+1))</f>
        <v>102</v>
      </c>
      <c r="I529" s="167"/>
    </row>
    <row r="530" spans="1:12" x14ac:dyDescent="0.25">
      <c r="A530" t="s">
        <v>1561</v>
      </c>
      <c r="B530" t="s">
        <v>2567</v>
      </c>
      <c r="C530" s="2">
        <v>696969</v>
      </c>
      <c r="D530" s="3" t="s">
        <v>1697</v>
      </c>
      <c r="E530" t="s">
        <v>158</v>
      </c>
      <c r="F530" s="2" t="str">
        <f>LEFT(D530,FIND(",",D530)-1)</f>
        <v>105</v>
      </c>
      <c r="G530" s="2" t="str">
        <f>MID(D530,FIND(",",D530)+1,FIND(",",D530,FIND(",",D530)+1)-FIND(",",D530)-1)</f>
        <v xml:space="preserve"> 105</v>
      </c>
      <c r="H530" s="2" t="str">
        <f>RIGHT(D530,LEN(D530)-FIND(",",D530,FIND(",",D530)+1))</f>
        <v xml:space="preserve"> 105</v>
      </c>
      <c r="I530" s="198"/>
    </row>
    <row r="531" spans="1:12" x14ac:dyDescent="0.25">
      <c r="A531" t="s">
        <v>147</v>
      </c>
      <c r="B531" t="s">
        <v>2567</v>
      </c>
      <c r="C531" s="2">
        <v>696969</v>
      </c>
      <c r="D531" s="3" t="s">
        <v>2201</v>
      </c>
      <c r="E531" t="s">
        <v>158</v>
      </c>
      <c r="F531" s="2" t="str">
        <f>LEFT(D531,FIND(",",D531)-1)</f>
        <v>105</v>
      </c>
      <c r="G531" s="2" t="str">
        <f>MID(D531,FIND(",",D531)+1,FIND(",",D531,FIND(",",D531)+1)-FIND(",",D531)-1)</f>
        <v>105</v>
      </c>
      <c r="H531" s="2" t="str">
        <f>RIGHT(D531,LEN(D531)-FIND(",",D531,FIND(",",D531)+1))</f>
        <v>105</v>
      </c>
      <c r="I531" s="198"/>
    </row>
    <row r="532" spans="1:12" x14ac:dyDescent="0.25">
      <c r="A532" t="s">
        <v>228</v>
      </c>
      <c r="B532" t="s">
        <v>2567</v>
      </c>
      <c r="C532" s="2">
        <v>696969</v>
      </c>
      <c r="D532" s="3" t="s">
        <v>2201</v>
      </c>
      <c r="E532" t="s">
        <v>158</v>
      </c>
      <c r="F532" s="2" t="str">
        <f>LEFT(D532,FIND(",",D532)-1)</f>
        <v>105</v>
      </c>
      <c r="G532" s="2" t="str">
        <f>MID(D532,FIND(",",D532)+1,FIND(",",D532,FIND(",",D532)+1)-FIND(",",D532)-1)</f>
        <v>105</v>
      </c>
      <c r="H532" s="2" t="str">
        <f>RIGHT(D532,LEN(D532)-FIND(",",D532,FIND(",",D532)+1))</f>
        <v>105</v>
      </c>
      <c r="I532" s="198"/>
    </row>
    <row r="533" spans="1:12" x14ac:dyDescent="0.25">
      <c r="A533" t="s">
        <v>1475</v>
      </c>
      <c r="B533" t="s">
        <v>2567</v>
      </c>
      <c r="C533" s="2">
        <v>696969</v>
      </c>
      <c r="D533" s="3" t="s">
        <v>2201</v>
      </c>
      <c r="E533" t="s">
        <v>158</v>
      </c>
      <c r="F533" s="5">
        <v>105</v>
      </c>
      <c r="G533" s="5">
        <v>105</v>
      </c>
      <c r="H533" s="5">
        <v>105</v>
      </c>
      <c r="I533" s="198"/>
      <c r="L533" s="7"/>
    </row>
    <row r="534" spans="1:12" x14ac:dyDescent="0.25">
      <c r="A534" t="s">
        <v>229</v>
      </c>
      <c r="B534" t="s">
        <v>2567</v>
      </c>
      <c r="C534" s="2" t="s">
        <v>230</v>
      </c>
      <c r="D534" s="3" t="s">
        <v>2344</v>
      </c>
      <c r="E534" t="s">
        <v>158</v>
      </c>
      <c r="F534" s="2" t="str">
        <f t="shared" ref="F534:F555" si="93">LEFT(D534,FIND(",",D534)-1)</f>
        <v>107</v>
      </c>
      <c r="G534" s="2" t="str">
        <f t="shared" ref="G534:G555" si="94">MID(D534,FIND(",",D534)+1,FIND(",",D534,FIND(",",D534)+1)-FIND(",",D534)-1)</f>
        <v>107</v>
      </c>
      <c r="H534" s="2" t="str">
        <f t="shared" ref="H534:H555" si="95">RIGHT(D534,LEN(D534)-FIND(",",D534,FIND(",",D534)+1))</f>
        <v>107</v>
      </c>
      <c r="I534" s="229"/>
    </row>
    <row r="535" spans="1:12" x14ac:dyDescent="0.25">
      <c r="A535" t="s">
        <v>170</v>
      </c>
      <c r="B535" t="s">
        <v>2567</v>
      </c>
      <c r="C535" s="2" t="s">
        <v>171</v>
      </c>
      <c r="D535" s="3" t="s">
        <v>2342</v>
      </c>
      <c r="E535" t="s">
        <v>158</v>
      </c>
      <c r="F535" s="2" t="str">
        <f t="shared" si="93"/>
        <v>108</v>
      </c>
      <c r="G535" s="2" t="str">
        <f t="shared" si="94"/>
        <v>123</v>
      </c>
      <c r="H535" s="2" t="str">
        <f t="shared" si="95"/>
        <v>139</v>
      </c>
      <c r="I535" s="531"/>
    </row>
    <row r="536" spans="1:12" x14ac:dyDescent="0.25">
      <c r="A536" t="s">
        <v>231</v>
      </c>
      <c r="B536" t="s">
        <v>2567</v>
      </c>
      <c r="C536" s="2" t="s">
        <v>232</v>
      </c>
      <c r="D536" s="3" t="s">
        <v>2345</v>
      </c>
      <c r="E536" t="s">
        <v>158</v>
      </c>
      <c r="F536" s="2" t="str">
        <f t="shared" si="93"/>
        <v>110</v>
      </c>
      <c r="G536" s="2" t="str">
        <f t="shared" si="94"/>
        <v>110</v>
      </c>
      <c r="H536" s="2" t="str">
        <f t="shared" si="95"/>
        <v>110</v>
      </c>
      <c r="I536" s="580"/>
    </row>
    <row r="537" spans="1:12" x14ac:dyDescent="0.25">
      <c r="A537" t="s">
        <v>163</v>
      </c>
      <c r="B537" t="s">
        <v>2567</v>
      </c>
      <c r="C537" s="2">
        <v>708090</v>
      </c>
      <c r="D537" s="3" t="s">
        <v>1699</v>
      </c>
      <c r="E537" t="s">
        <v>158</v>
      </c>
      <c r="F537" s="2" t="str">
        <f t="shared" si="93"/>
        <v>112</v>
      </c>
      <c r="G537" s="2" t="str">
        <f t="shared" si="94"/>
        <v xml:space="preserve"> 128</v>
      </c>
      <c r="H537" s="2" t="str">
        <f t="shared" si="95"/>
        <v xml:space="preserve"> 144</v>
      </c>
      <c r="I537" s="129"/>
    </row>
    <row r="538" spans="1:12" x14ac:dyDescent="0.25">
      <c r="A538" t="s">
        <v>233</v>
      </c>
      <c r="B538" t="s">
        <v>2567</v>
      </c>
      <c r="C538" s="2">
        <v>707070</v>
      </c>
      <c r="D538" s="3" t="s">
        <v>2346</v>
      </c>
      <c r="E538" t="s">
        <v>158</v>
      </c>
      <c r="F538" s="2" t="str">
        <f t="shared" si="93"/>
        <v>112</v>
      </c>
      <c r="G538" s="2" t="str">
        <f t="shared" si="94"/>
        <v>112</v>
      </c>
      <c r="H538" s="2" t="str">
        <f t="shared" si="95"/>
        <v>112</v>
      </c>
      <c r="I538" s="639"/>
    </row>
    <row r="539" spans="1:12" x14ac:dyDescent="0.25">
      <c r="A539" t="s">
        <v>135</v>
      </c>
      <c r="B539" t="s">
        <v>2567</v>
      </c>
      <c r="C539" s="2">
        <v>708090</v>
      </c>
      <c r="D539" s="3" t="s">
        <v>2326</v>
      </c>
      <c r="E539" t="s">
        <v>158</v>
      </c>
      <c r="F539" s="2" t="str">
        <f t="shared" si="93"/>
        <v>112</v>
      </c>
      <c r="G539" s="2" t="str">
        <f t="shared" si="94"/>
        <v>128</v>
      </c>
      <c r="H539" s="2" t="str">
        <f t="shared" si="95"/>
        <v>144</v>
      </c>
      <c r="I539" s="129"/>
    </row>
    <row r="540" spans="1:12" x14ac:dyDescent="0.25">
      <c r="A540" t="s">
        <v>163</v>
      </c>
      <c r="B540" t="s">
        <v>2567</v>
      </c>
      <c r="C540" s="2">
        <v>708090</v>
      </c>
      <c r="D540" s="3" t="s">
        <v>2326</v>
      </c>
      <c r="E540" t="s">
        <v>158</v>
      </c>
      <c r="F540" s="2" t="str">
        <f t="shared" si="93"/>
        <v>112</v>
      </c>
      <c r="G540" s="2" t="str">
        <f t="shared" si="94"/>
        <v>128</v>
      </c>
      <c r="H540" s="2" t="str">
        <f t="shared" si="95"/>
        <v>144</v>
      </c>
      <c r="I540" s="129"/>
    </row>
    <row r="541" spans="1:12" x14ac:dyDescent="0.25">
      <c r="A541" t="s">
        <v>234</v>
      </c>
      <c r="B541" t="s">
        <v>2567</v>
      </c>
      <c r="C541" s="2">
        <v>737373</v>
      </c>
      <c r="D541" s="3" t="s">
        <v>2347</v>
      </c>
      <c r="E541" t="s">
        <v>158</v>
      </c>
      <c r="F541" s="2" t="str">
        <f t="shared" si="93"/>
        <v>115</v>
      </c>
      <c r="G541" s="2" t="str">
        <f t="shared" si="94"/>
        <v>115</v>
      </c>
      <c r="H541" s="2" t="str">
        <f t="shared" si="95"/>
        <v>115</v>
      </c>
      <c r="I541" s="43"/>
    </row>
    <row r="542" spans="1:12" x14ac:dyDescent="0.25">
      <c r="A542" t="s">
        <v>235</v>
      </c>
      <c r="B542" t="s">
        <v>2567</v>
      </c>
      <c r="C542" s="2">
        <v>757575</v>
      </c>
      <c r="D542" s="3" t="s">
        <v>2348</v>
      </c>
      <c r="E542" t="s">
        <v>158</v>
      </c>
      <c r="F542" s="2" t="str">
        <f t="shared" si="93"/>
        <v>117</v>
      </c>
      <c r="G542" s="2" t="str">
        <f t="shared" si="94"/>
        <v>117</v>
      </c>
      <c r="H542" s="2" t="str">
        <f t="shared" si="95"/>
        <v>117</v>
      </c>
      <c r="I542" s="696"/>
    </row>
    <row r="543" spans="1:12" x14ac:dyDescent="0.25">
      <c r="A543" t="s">
        <v>1562</v>
      </c>
      <c r="B543" t="s">
        <v>2567</v>
      </c>
      <c r="C543" s="2">
        <v>778899</v>
      </c>
      <c r="D543" s="3" t="s">
        <v>1698</v>
      </c>
      <c r="E543" t="s">
        <v>158</v>
      </c>
      <c r="F543" s="2" t="str">
        <f t="shared" si="93"/>
        <v>119</v>
      </c>
      <c r="G543" s="2" t="str">
        <f t="shared" si="94"/>
        <v xml:space="preserve"> 136</v>
      </c>
      <c r="H543" s="2" t="str">
        <f t="shared" si="95"/>
        <v xml:space="preserve"> 153</v>
      </c>
      <c r="I543" s="132"/>
    </row>
    <row r="544" spans="1:12" x14ac:dyDescent="0.25">
      <c r="A544" t="s">
        <v>3254</v>
      </c>
      <c r="B544" t="s">
        <v>2567</v>
      </c>
      <c r="C544" s="2">
        <v>777777</v>
      </c>
      <c r="D544" s="3" t="s">
        <v>2349</v>
      </c>
      <c r="E544" t="s">
        <v>158</v>
      </c>
      <c r="F544" s="2" t="str">
        <f t="shared" si="93"/>
        <v>119</v>
      </c>
      <c r="G544" s="2" t="str">
        <f t="shared" si="94"/>
        <v>119</v>
      </c>
      <c r="H544" s="2" t="str">
        <f t="shared" si="95"/>
        <v>119</v>
      </c>
      <c r="I544" s="139"/>
    </row>
    <row r="545" spans="1:12" x14ac:dyDescent="0.25">
      <c r="A545" t="s">
        <v>136</v>
      </c>
      <c r="B545" t="s">
        <v>2567</v>
      </c>
      <c r="C545" s="2">
        <v>778899</v>
      </c>
      <c r="D545" s="3" t="s">
        <v>2327</v>
      </c>
      <c r="E545" t="s">
        <v>158</v>
      </c>
      <c r="F545" s="2" t="str">
        <f t="shared" si="93"/>
        <v>119</v>
      </c>
      <c r="G545" s="2" t="str">
        <f t="shared" si="94"/>
        <v>136</v>
      </c>
      <c r="H545" s="2" t="str">
        <f t="shared" si="95"/>
        <v>153</v>
      </c>
      <c r="I545" s="132"/>
    </row>
    <row r="546" spans="1:12" x14ac:dyDescent="0.25">
      <c r="A546" t="s">
        <v>162</v>
      </c>
      <c r="B546" t="s">
        <v>2567</v>
      </c>
      <c r="C546" s="2">
        <v>778899</v>
      </c>
      <c r="D546" s="3" t="s">
        <v>2327</v>
      </c>
      <c r="E546" t="s">
        <v>158</v>
      </c>
      <c r="F546" s="2" t="str">
        <f t="shared" si="93"/>
        <v>119</v>
      </c>
      <c r="G546" s="2" t="str">
        <f t="shared" si="94"/>
        <v>136</v>
      </c>
      <c r="H546" s="2" t="str">
        <f t="shared" si="95"/>
        <v>153</v>
      </c>
      <c r="I546" s="132"/>
    </row>
    <row r="547" spans="1:12" x14ac:dyDescent="0.25">
      <c r="A547" t="s">
        <v>236</v>
      </c>
      <c r="B547" t="s">
        <v>2567</v>
      </c>
      <c r="C547" s="2">
        <v>787878</v>
      </c>
      <c r="D547" s="3" t="s">
        <v>2350</v>
      </c>
      <c r="E547" t="s">
        <v>158</v>
      </c>
      <c r="F547" s="2" t="str">
        <f t="shared" si="93"/>
        <v>120</v>
      </c>
      <c r="G547" s="2" t="str">
        <f t="shared" si="94"/>
        <v>120</v>
      </c>
      <c r="H547" s="2" t="str">
        <f t="shared" si="95"/>
        <v>120</v>
      </c>
      <c r="I547" s="168"/>
    </row>
    <row r="548" spans="1:12" x14ac:dyDescent="0.25">
      <c r="A548" t="s">
        <v>237</v>
      </c>
      <c r="B548" t="s">
        <v>2567</v>
      </c>
      <c r="C548" s="2" t="s">
        <v>238</v>
      </c>
      <c r="D548" s="3" t="s">
        <v>2351</v>
      </c>
      <c r="E548" t="s">
        <v>158</v>
      </c>
      <c r="F548" s="2" t="str">
        <f t="shared" si="93"/>
        <v>122</v>
      </c>
      <c r="G548" s="2" t="str">
        <f t="shared" si="94"/>
        <v>122</v>
      </c>
      <c r="H548" s="2" t="str">
        <f t="shared" si="95"/>
        <v>122</v>
      </c>
      <c r="I548" s="199"/>
    </row>
    <row r="549" spans="1:12" x14ac:dyDescent="0.25">
      <c r="A549" t="s">
        <v>239</v>
      </c>
      <c r="B549" t="s">
        <v>2567</v>
      </c>
      <c r="C549" s="2" t="s">
        <v>240</v>
      </c>
      <c r="D549" s="3" t="s">
        <v>2352</v>
      </c>
      <c r="E549" t="s">
        <v>158</v>
      </c>
      <c r="F549" s="2" t="str">
        <f t="shared" si="93"/>
        <v>125</v>
      </c>
      <c r="G549" s="2" t="str">
        <f t="shared" si="94"/>
        <v>125</v>
      </c>
      <c r="H549" s="2" t="str">
        <f t="shared" si="95"/>
        <v>125</v>
      </c>
      <c r="I549" s="230"/>
    </row>
    <row r="550" spans="1:12" x14ac:dyDescent="0.25">
      <c r="A550" t="s">
        <v>241</v>
      </c>
      <c r="B550" t="s">
        <v>2567</v>
      </c>
      <c r="C550" s="2" t="s">
        <v>242</v>
      </c>
      <c r="D550" s="3" t="s">
        <v>2353</v>
      </c>
      <c r="E550" t="s">
        <v>158</v>
      </c>
      <c r="F550" s="2" t="str">
        <f t="shared" si="93"/>
        <v>127</v>
      </c>
      <c r="G550" s="2" t="str">
        <f t="shared" si="94"/>
        <v>127</v>
      </c>
      <c r="H550" s="2" t="str">
        <f t="shared" si="95"/>
        <v>127</v>
      </c>
      <c r="I550" s="768"/>
    </row>
    <row r="551" spans="1:12" x14ac:dyDescent="0.25">
      <c r="A551" t="s">
        <v>9</v>
      </c>
      <c r="B551" t="s">
        <v>2567</v>
      </c>
      <c r="C551" s="2">
        <v>808080</v>
      </c>
      <c r="D551" s="3" t="s">
        <v>1696</v>
      </c>
      <c r="E551" t="s">
        <v>158</v>
      </c>
      <c r="F551" s="2" t="str">
        <f t="shared" si="93"/>
        <v>128</v>
      </c>
      <c r="G551" s="2" t="str">
        <f t="shared" si="94"/>
        <v xml:space="preserve"> 128</v>
      </c>
      <c r="H551" s="2" t="str">
        <f t="shared" si="95"/>
        <v xml:space="preserve"> 128</v>
      </c>
      <c r="I551" s="8"/>
    </row>
    <row r="552" spans="1:12" x14ac:dyDescent="0.25">
      <c r="A552" t="s">
        <v>9</v>
      </c>
      <c r="B552" t="s">
        <v>2567</v>
      </c>
      <c r="C552" s="2">
        <v>808080</v>
      </c>
      <c r="D552" s="3" t="s">
        <v>2275</v>
      </c>
      <c r="E552" t="s">
        <v>158</v>
      </c>
      <c r="F552" s="2" t="str">
        <f t="shared" si="93"/>
        <v>128</v>
      </c>
      <c r="G552" s="2" t="str">
        <f t="shared" si="94"/>
        <v>128</v>
      </c>
      <c r="H552" s="2" t="str">
        <f t="shared" si="95"/>
        <v>128</v>
      </c>
      <c r="I552" s="8"/>
    </row>
    <row r="553" spans="1:12" x14ac:dyDescent="0.25">
      <c r="A553" t="s">
        <v>148</v>
      </c>
      <c r="B553" t="s">
        <v>2567</v>
      </c>
      <c r="C553" s="2">
        <v>808080</v>
      </c>
      <c r="D553" s="3" t="s">
        <v>2275</v>
      </c>
      <c r="E553" t="s">
        <v>158</v>
      </c>
      <c r="F553" s="2" t="str">
        <f t="shared" si="93"/>
        <v>128</v>
      </c>
      <c r="G553" s="2" t="str">
        <f t="shared" si="94"/>
        <v>128</v>
      </c>
      <c r="H553" s="2" t="str">
        <f t="shared" si="95"/>
        <v>128</v>
      </c>
      <c r="I553" s="8"/>
    </row>
    <row r="554" spans="1:12" x14ac:dyDescent="0.25">
      <c r="A554" t="s">
        <v>178</v>
      </c>
      <c r="B554" t="s">
        <v>2567</v>
      </c>
      <c r="C554" s="2" t="s">
        <v>179</v>
      </c>
      <c r="D554" s="3" t="s">
        <v>1708</v>
      </c>
      <c r="E554" t="s">
        <v>158</v>
      </c>
      <c r="F554" s="2" t="str">
        <f t="shared" si="93"/>
        <v>13</v>
      </c>
      <c r="G554" s="2" t="str">
        <f t="shared" si="94"/>
        <v>13</v>
      </c>
      <c r="H554" s="2" t="str">
        <f t="shared" si="95"/>
        <v>13</v>
      </c>
      <c r="I554" s="637"/>
    </row>
    <row r="555" spans="1:12" x14ac:dyDescent="0.25">
      <c r="A555" t="s">
        <v>243</v>
      </c>
      <c r="B555" t="s">
        <v>2567</v>
      </c>
      <c r="C555" s="2">
        <v>828282</v>
      </c>
      <c r="D555" s="3" t="s">
        <v>2354</v>
      </c>
      <c r="E555" t="s">
        <v>158</v>
      </c>
      <c r="F555" s="2" t="str">
        <f t="shared" si="93"/>
        <v>130</v>
      </c>
      <c r="G555" s="2" t="str">
        <f t="shared" si="94"/>
        <v>130</v>
      </c>
      <c r="H555" s="2" t="str">
        <f t="shared" si="95"/>
        <v>130</v>
      </c>
      <c r="I555" s="316"/>
    </row>
    <row r="556" spans="1:12" x14ac:dyDescent="0.25">
      <c r="A556" t="s">
        <v>1325</v>
      </c>
      <c r="B556" t="s">
        <v>2567</v>
      </c>
      <c r="C556" s="2">
        <v>848482</v>
      </c>
      <c r="D556" s="3" t="s">
        <v>2040</v>
      </c>
      <c r="E556" t="s">
        <v>158</v>
      </c>
      <c r="F556" s="5">
        <v>133</v>
      </c>
      <c r="G556" s="5">
        <v>133</v>
      </c>
      <c r="H556" s="5">
        <v>130</v>
      </c>
      <c r="I556" s="291"/>
      <c r="L556" s="7"/>
    </row>
    <row r="557" spans="1:12" x14ac:dyDescent="0.25">
      <c r="A557" t="s">
        <v>244</v>
      </c>
      <c r="B557" t="s">
        <v>2567</v>
      </c>
      <c r="C557" s="2">
        <v>858585</v>
      </c>
      <c r="D557" s="3" t="s">
        <v>2355</v>
      </c>
      <c r="E557" t="s">
        <v>158</v>
      </c>
      <c r="F557" s="2" t="str">
        <f>LEFT(D557,FIND(",",D557)-1)</f>
        <v>133</v>
      </c>
      <c r="G557" s="2" t="str">
        <f>MID(D557,FIND(",",D557)+1,FIND(",",D557,FIND(",",D557)+1)-FIND(",",D557)-1)</f>
        <v>133</v>
      </c>
      <c r="H557" s="2" t="str">
        <f>RIGHT(D557,LEN(D557)-FIND(",",D557,FIND(",",D557)+1))</f>
        <v>133</v>
      </c>
      <c r="I557" s="44"/>
    </row>
    <row r="558" spans="1:12" x14ac:dyDescent="0.25">
      <c r="A558" t="s">
        <v>245</v>
      </c>
      <c r="B558" t="s">
        <v>2567</v>
      </c>
      <c r="C558" s="2">
        <v>878787</v>
      </c>
      <c r="D558" s="3" t="s">
        <v>2356</v>
      </c>
      <c r="E558" t="s">
        <v>158</v>
      </c>
      <c r="F558" s="2" t="str">
        <f>LEFT(D558,FIND(",",D558)-1)</f>
        <v>135</v>
      </c>
      <c r="G558" s="2" t="str">
        <f>MID(D558,FIND(",",D558)+1,FIND(",",D558,FIND(",",D558)+1)-FIND(",",D558)-1)</f>
        <v>135</v>
      </c>
      <c r="H558" s="2" t="str">
        <f>RIGHT(D558,LEN(D558)-FIND(",",D558,FIND(",",D558)+1))</f>
        <v>135</v>
      </c>
      <c r="I558" s="386"/>
    </row>
    <row r="559" spans="1:12" x14ac:dyDescent="0.25">
      <c r="A559" t="s">
        <v>3255</v>
      </c>
      <c r="B559" t="s">
        <v>2567</v>
      </c>
      <c r="C559" s="2">
        <v>888888</v>
      </c>
      <c r="D559" s="3" t="s">
        <v>2357</v>
      </c>
      <c r="E559" t="s">
        <v>158</v>
      </c>
      <c r="F559" s="2" t="str">
        <f>LEFT(D559,FIND(",",D559)-1)</f>
        <v>136</v>
      </c>
      <c r="G559" s="2" t="str">
        <f>MID(D559,FIND(",",D559)+1,FIND(",",D559,FIND(",",D559)+1)-FIND(",",D559)-1)</f>
        <v>136</v>
      </c>
      <c r="H559" s="2" t="str">
        <f>RIGHT(D559,LEN(D559)-FIND(",",D559,FIND(",",D559)+1))</f>
        <v>136</v>
      </c>
      <c r="I559" s="140"/>
    </row>
    <row r="560" spans="1:12" x14ac:dyDescent="0.25">
      <c r="A560" t="s">
        <v>246</v>
      </c>
      <c r="B560" t="s">
        <v>2567</v>
      </c>
      <c r="C560" s="2" t="s">
        <v>247</v>
      </c>
      <c r="D560" s="3" t="s">
        <v>2358</v>
      </c>
      <c r="E560" t="s">
        <v>158</v>
      </c>
      <c r="F560" s="2" t="str">
        <f>LEFT(D560,FIND(",",D560)-1)</f>
        <v>138</v>
      </c>
      <c r="G560" s="2" t="str">
        <f>MID(D560,FIND(",",D560)+1,FIND(",",D560,FIND(",",D560)+1)-FIND(",",D560)-1)</f>
        <v>138</v>
      </c>
      <c r="H560" s="2" t="str">
        <f>RIGHT(D560,LEN(D560)-FIND(",",D560,FIND(",",D560)+1))</f>
        <v>138</v>
      </c>
      <c r="I560" s="169"/>
    </row>
    <row r="561" spans="1:12" x14ac:dyDescent="0.25">
      <c r="A561" t="s">
        <v>248</v>
      </c>
      <c r="B561" t="s">
        <v>2567</v>
      </c>
      <c r="C561" s="2" t="s">
        <v>249</v>
      </c>
      <c r="D561" s="3" t="s">
        <v>2359</v>
      </c>
      <c r="E561" t="s">
        <v>158</v>
      </c>
      <c r="F561" s="2" t="str">
        <f>LEFT(D561,FIND(",",D561)-1)</f>
        <v>140</v>
      </c>
      <c r="G561" s="2" t="str">
        <f>MID(D561,FIND(",",D561)+1,FIND(",",D561,FIND(",",D561)+1)-FIND(",",D561)-1)</f>
        <v>140</v>
      </c>
      <c r="H561" s="2" t="str">
        <f>RIGHT(D561,LEN(D561)-FIND(",",D561,FIND(",",D561)+1))</f>
        <v>140</v>
      </c>
      <c r="I561" s="200"/>
    </row>
    <row r="562" spans="1:12" x14ac:dyDescent="0.25">
      <c r="A562" t="s">
        <v>1415</v>
      </c>
      <c r="B562" t="s">
        <v>2567</v>
      </c>
      <c r="C562" s="2" t="s">
        <v>2661</v>
      </c>
      <c r="D562" s="3" t="s">
        <v>2143</v>
      </c>
      <c r="E562" t="s">
        <v>158</v>
      </c>
      <c r="F562" s="5">
        <v>140</v>
      </c>
      <c r="G562" s="5">
        <v>145</v>
      </c>
      <c r="H562" s="5">
        <v>171</v>
      </c>
      <c r="I562" s="813"/>
      <c r="L562" s="7"/>
    </row>
    <row r="563" spans="1:12" x14ac:dyDescent="0.25">
      <c r="A563" t="s">
        <v>250</v>
      </c>
      <c r="B563" t="s">
        <v>2567</v>
      </c>
      <c r="C563" s="2" t="s">
        <v>251</v>
      </c>
      <c r="D563" s="3" t="s">
        <v>2360</v>
      </c>
      <c r="E563" t="s">
        <v>158</v>
      </c>
      <c r="F563" s="2" t="str">
        <f>LEFT(D563,FIND(",",D563)-1)</f>
        <v>143</v>
      </c>
      <c r="G563" s="2" t="str">
        <f>MID(D563,FIND(",",D563)+1,FIND(",",D563,FIND(",",D563)+1)-FIND(",",D563)-1)</f>
        <v>143</v>
      </c>
      <c r="H563" s="2" t="str">
        <f>RIGHT(D563,LEN(D563)-FIND(",",D563,FIND(",",D563)+1))</f>
        <v>143</v>
      </c>
      <c r="I563" s="231"/>
    </row>
    <row r="564" spans="1:12" x14ac:dyDescent="0.25">
      <c r="A564" t="s">
        <v>252</v>
      </c>
      <c r="B564" t="s">
        <v>2567</v>
      </c>
      <c r="C564" s="2">
        <v>919191</v>
      </c>
      <c r="D564" s="3" t="s">
        <v>2361</v>
      </c>
      <c r="E564" t="s">
        <v>158</v>
      </c>
      <c r="F564" s="2" t="str">
        <f>LEFT(D564,FIND(",",D564)-1)</f>
        <v>145</v>
      </c>
      <c r="G564" s="2" t="str">
        <f>MID(D564,FIND(",",D564)+1,FIND(",",D564,FIND(",",D564)+1)-FIND(",",D564)-1)</f>
        <v>145</v>
      </c>
      <c r="H564" s="2" t="str">
        <f>RIGHT(D564,LEN(D564)-FIND(",",D564,FIND(",",D564)+1))</f>
        <v>145</v>
      </c>
      <c r="I564" s="465"/>
    </row>
    <row r="565" spans="1:12" x14ac:dyDescent="0.25">
      <c r="A565" t="s">
        <v>1368</v>
      </c>
      <c r="B565" t="s">
        <v>2567</v>
      </c>
      <c r="C565" s="2" t="s">
        <v>2662</v>
      </c>
      <c r="D565" s="3" t="s">
        <v>2092</v>
      </c>
      <c r="E565" t="s">
        <v>158</v>
      </c>
      <c r="F565" s="5">
        <v>145</v>
      </c>
      <c r="G565" s="5">
        <v>163</v>
      </c>
      <c r="H565" s="5">
        <v>176</v>
      </c>
      <c r="I565" s="512"/>
      <c r="L565" s="7"/>
    </row>
    <row r="566" spans="1:12" x14ac:dyDescent="0.25">
      <c r="A566" t="s">
        <v>253</v>
      </c>
      <c r="B566" t="s">
        <v>2567</v>
      </c>
      <c r="C566" s="2">
        <v>949494</v>
      </c>
      <c r="D566" s="3" t="s">
        <v>2362</v>
      </c>
      <c r="E566" t="s">
        <v>158</v>
      </c>
      <c r="F566" s="2" t="str">
        <f t="shared" ref="F566:F583" si="96">LEFT(D566,FIND(",",D566)-1)</f>
        <v>148</v>
      </c>
      <c r="G566" s="2" t="str">
        <f t="shared" ref="G566:G583" si="97">MID(D566,FIND(",",D566)+1,FIND(",",D566,FIND(",",D566)+1)-FIND(",",D566)-1)</f>
        <v>148</v>
      </c>
      <c r="H566" s="2" t="str">
        <f t="shared" ref="H566:H583" si="98">RIGHT(D566,LEN(D566)-FIND(",",D566,FIND(",",D566)+1))</f>
        <v>148</v>
      </c>
      <c r="I566" s="534"/>
    </row>
    <row r="567" spans="1:12" x14ac:dyDescent="0.25">
      <c r="A567" t="s">
        <v>180</v>
      </c>
      <c r="B567" t="s">
        <v>2567</v>
      </c>
      <c r="C567" s="2" t="s">
        <v>181</v>
      </c>
      <c r="D567" s="3" t="s">
        <v>1709</v>
      </c>
      <c r="E567" t="s">
        <v>158</v>
      </c>
      <c r="F567" s="2" t="str">
        <f t="shared" si="96"/>
        <v>15</v>
      </c>
      <c r="G567" s="2" t="str">
        <f t="shared" si="97"/>
        <v>15</v>
      </c>
      <c r="H567" s="2" t="str">
        <f t="shared" si="98"/>
        <v>15</v>
      </c>
      <c r="I567" s="694"/>
    </row>
    <row r="568" spans="1:12" x14ac:dyDescent="0.25">
      <c r="A568" t="s">
        <v>254</v>
      </c>
      <c r="B568" t="s">
        <v>2567</v>
      </c>
      <c r="C568" s="2">
        <v>969696</v>
      </c>
      <c r="D568" s="3" t="s">
        <v>2363</v>
      </c>
      <c r="E568" t="s">
        <v>158</v>
      </c>
      <c r="F568" s="2" t="str">
        <f t="shared" si="96"/>
        <v>150</v>
      </c>
      <c r="G568" s="2" t="str">
        <f t="shared" si="97"/>
        <v>150</v>
      </c>
      <c r="H568" s="2" t="str">
        <f t="shared" si="98"/>
        <v>150</v>
      </c>
      <c r="I568" s="45"/>
    </row>
    <row r="569" spans="1:12" x14ac:dyDescent="0.25">
      <c r="A569" t="s">
        <v>255</v>
      </c>
      <c r="B569" t="s">
        <v>2567</v>
      </c>
      <c r="C569" s="2">
        <v>999999</v>
      </c>
      <c r="D569" s="3" t="s">
        <v>2364</v>
      </c>
      <c r="E569" t="s">
        <v>158</v>
      </c>
      <c r="F569" s="2" t="str">
        <f t="shared" si="96"/>
        <v>153</v>
      </c>
      <c r="G569" s="2" t="str">
        <f t="shared" si="97"/>
        <v>153</v>
      </c>
      <c r="H569" s="2" t="str">
        <f t="shared" si="98"/>
        <v>153</v>
      </c>
      <c r="I569" s="581"/>
    </row>
    <row r="570" spans="1:12" x14ac:dyDescent="0.25">
      <c r="A570" t="s">
        <v>256</v>
      </c>
      <c r="B570" t="s">
        <v>2567</v>
      </c>
      <c r="C570" s="2" t="s">
        <v>257</v>
      </c>
      <c r="D570" s="3" t="s">
        <v>2365</v>
      </c>
      <c r="E570" t="s">
        <v>158</v>
      </c>
      <c r="F570" s="2" t="str">
        <f t="shared" si="96"/>
        <v>156</v>
      </c>
      <c r="G570" s="2" t="str">
        <f t="shared" si="97"/>
        <v>156</v>
      </c>
      <c r="H570" s="2" t="str">
        <f t="shared" si="98"/>
        <v>156</v>
      </c>
      <c r="I570" s="141"/>
    </row>
    <row r="571" spans="1:12" x14ac:dyDescent="0.25">
      <c r="A571" t="s">
        <v>258</v>
      </c>
      <c r="B571" t="s">
        <v>2567</v>
      </c>
      <c r="C571" s="2" t="s">
        <v>259</v>
      </c>
      <c r="D571" s="3" t="s">
        <v>2366</v>
      </c>
      <c r="E571" t="s">
        <v>158</v>
      </c>
      <c r="F571" s="2" t="str">
        <f t="shared" si="96"/>
        <v>158</v>
      </c>
      <c r="G571" s="2" t="str">
        <f t="shared" si="97"/>
        <v>158</v>
      </c>
      <c r="H571" s="2" t="str">
        <f t="shared" si="98"/>
        <v>158</v>
      </c>
      <c r="I571" s="170"/>
    </row>
    <row r="572" spans="1:12" x14ac:dyDescent="0.25">
      <c r="A572" t="s">
        <v>168</v>
      </c>
      <c r="B572" t="s">
        <v>2567</v>
      </c>
      <c r="C572" s="2" t="s">
        <v>169</v>
      </c>
      <c r="D572" s="3" t="s">
        <v>2341</v>
      </c>
      <c r="E572" t="s">
        <v>158</v>
      </c>
      <c r="F572" s="2" t="str">
        <f t="shared" si="96"/>
        <v>159</v>
      </c>
      <c r="G572" s="2" t="str">
        <f t="shared" si="97"/>
        <v>182</v>
      </c>
      <c r="H572" s="2" t="str">
        <f t="shared" si="98"/>
        <v>205</v>
      </c>
      <c r="I572" s="462"/>
    </row>
    <row r="573" spans="1:12" x14ac:dyDescent="0.25">
      <c r="A573" t="s">
        <v>260</v>
      </c>
      <c r="B573" t="s">
        <v>2567</v>
      </c>
      <c r="C573" s="2" t="s">
        <v>261</v>
      </c>
      <c r="D573" s="3" t="s">
        <v>2367</v>
      </c>
      <c r="E573" t="s">
        <v>158</v>
      </c>
      <c r="F573" s="2" t="str">
        <f t="shared" si="96"/>
        <v>161</v>
      </c>
      <c r="G573" s="2" t="str">
        <f t="shared" si="97"/>
        <v>161</v>
      </c>
      <c r="H573" s="2" t="str">
        <f t="shared" si="98"/>
        <v>161</v>
      </c>
      <c r="I573" s="201"/>
    </row>
    <row r="574" spans="1:12" x14ac:dyDescent="0.25">
      <c r="A574" t="s">
        <v>262</v>
      </c>
      <c r="B574" t="s">
        <v>2567</v>
      </c>
      <c r="C574" s="2" t="s">
        <v>263</v>
      </c>
      <c r="D574" s="3" t="s">
        <v>2368</v>
      </c>
      <c r="E574" t="s">
        <v>158</v>
      </c>
      <c r="F574" s="2" t="str">
        <f t="shared" si="96"/>
        <v>163</v>
      </c>
      <c r="G574" s="2" t="str">
        <f t="shared" si="97"/>
        <v>163</v>
      </c>
      <c r="H574" s="2" t="str">
        <f t="shared" si="98"/>
        <v>163</v>
      </c>
      <c r="I574" s="232"/>
    </row>
    <row r="575" spans="1:12" x14ac:dyDescent="0.25">
      <c r="A575" t="s">
        <v>264</v>
      </c>
      <c r="B575" t="s">
        <v>2567</v>
      </c>
      <c r="C575" s="2" t="s">
        <v>265</v>
      </c>
      <c r="D575" s="3" t="s">
        <v>2369</v>
      </c>
      <c r="E575" t="s">
        <v>158</v>
      </c>
      <c r="F575" s="2" t="str">
        <f t="shared" si="96"/>
        <v>166</v>
      </c>
      <c r="G575" s="2" t="str">
        <f t="shared" si="97"/>
        <v>166</v>
      </c>
      <c r="H575" s="2" t="str">
        <f t="shared" si="98"/>
        <v>166</v>
      </c>
      <c r="I575" s="640"/>
    </row>
    <row r="576" spans="1:12" x14ac:dyDescent="0.25">
      <c r="A576" t="s">
        <v>266</v>
      </c>
      <c r="B576" t="s">
        <v>2567</v>
      </c>
      <c r="C576" s="2" t="s">
        <v>267</v>
      </c>
      <c r="D576" s="3" t="s">
        <v>2370</v>
      </c>
      <c r="E576" t="s">
        <v>158</v>
      </c>
      <c r="F576" s="2" t="str">
        <f t="shared" si="96"/>
        <v>168</v>
      </c>
      <c r="G576" s="2" t="str">
        <f t="shared" si="97"/>
        <v>168</v>
      </c>
      <c r="H576" s="2" t="str">
        <f t="shared" si="98"/>
        <v>168</v>
      </c>
      <c r="I576" s="697"/>
    </row>
    <row r="577" spans="1:12" x14ac:dyDescent="0.25">
      <c r="A577" t="s">
        <v>1560</v>
      </c>
      <c r="B577" t="s">
        <v>2567</v>
      </c>
      <c r="C577" s="2" t="s">
        <v>2663</v>
      </c>
      <c r="D577" s="3" t="s">
        <v>1695</v>
      </c>
      <c r="E577" t="s">
        <v>158</v>
      </c>
      <c r="F577" s="2" t="str">
        <f t="shared" si="96"/>
        <v>169</v>
      </c>
      <c r="G577" s="2" t="str">
        <f t="shared" si="97"/>
        <v xml:space="preserve"> 169</v>
      </c>
      <c r="H577" s="2" t="str">
        <f t="shared" si="98"/>
        <v xml:space="preserve"> 169</v>
      </c>
      <c r="I577" s="36"/>
    </row>
    <row r="578" spans="1:12" x14ac:dyDescent="0.25">
      <c r="A578" t="s">
        <v>149</v>
      </c>
      <c r="B578" t="s">
        <v>2567</v>
      </c>
      <c r="C578" s="2" t="s">
        <v>2663</v>
      </c>
      <c r="D578" s="3" t="s">
        <v>2335</v>
      </c>
      <c r="E578" t="s">
        <v>158</v>
      </c>
      <c r="F578" s="2" t="str">
        <f t="shared" si="96"/>
        <v>169</v>
      </c>
      <c r="G578" s="2" t="str">
        <f t="shared" si="97"/>
        <v>169</v>
      </c>
      <c r="H578" s="2" t="str">
        <f t="shared" si="98"/>
        <v>169</v>
      </c>
      <c r="I578" s="36"/>
    </row>
    <row r="579" spans="1:12" x14ac:dyDescent="0.25">
      <c r="A579" t="s">
        <v>268</v>
      </c>
      <c r="B579" t="s">
        <v>2567</v>
      </c>
      <c r="C579" s="2" t="s">
        <v>269</v>
      </c>
      <c r="D579" s="3" t="s">
        <v>2371</v>
      </c>
      <c r="E579" t="s">
        <v>158</v>
      </c>
      <c r="F579" s="2" t="str">
        <f t="shared" si="96"/>
        <v>171</v>
      </c>
      <c r="G579" s="2" t="str">
        <f t="shared" si="97"/>
        <v>171</v>
      </c>
      <c r="H579" s="2" t="str">
        <f t="shared" si="98"/>
        <v>171</v>
      </c>
      <c r="I579" s="46"/>
    </row>
    <row r="580" spans="1:12" x14ac:dyDescent="0.25">
      <c r="A580" t="s">
        <v>270</v>
      </c>
      <c r="B580" t="s">
        <v>2567</v>
      </c>
      <c r="C580" s="2" t="s">
        <v>271</v>
      </c>
      <c r="D580" s="3" t="s">
        <v>2372</v>
      </c>
      <c r="E580" t="s">
        <v>158</v>
      </c>
      <c r="F580" s="2" t="str">
        <f t="shared" si="96"/>
        <v>173</v>
      </c>
      <c r="G580" s="2" t="str">
        <f t="shared" si="97"/>
        <v>173</v>
      </c>
      <c r="H580" s="2" t="str">
        <f t="shared" si="98"/>
        <v>173</v>
      </c>
      <c r="I580" s="769"/>
    </row>
    <row r="581" spans="1:12" x14ac:dyDescent="0.25">
      <c r="A581" t="s">
        <v>272</v>
      </c>
      <c r="B581" t="s">
        <v>2567</v>
      </c>
      <c r="C581" s="2" t="s">
        <v>273</v>
      </c>
      <c r="D581" s="3" t="s">
        <v>2373</v>
      </c>
      <c r="E581" t="s">
        <v>158</v>
      </c>
      <c r="F581" s="2" t="str">
        <f t="shared" si="96"/>
        <v>176</v>
      </c>
      <c r="G581" s="2" t="str">
        <f t="shared" si="97"/>
        <v>176</v>
      </c>
      <c r="H581" s="2" t="str">
        <f t="shared" si="98"/>
        <v>176</v>
      </c>
      <c r="I581" s="142"/>
    </row>
    <row r="582" spans="1:12" x14ac:dyDescent="0.25">
      <c r="A582" t="s">
        <v>137</v>
      </c>
      <c r="B582" t="s">
        <v>2567</v>
      </c>
      <c r="C582" s="2" t="s">
        <v>422</v>
      </c>
      <c r="D582" s="3" t="s">
        <v>2328</v>
      </c>
      <c r="E582" t="s">
        <v>158</v>
      </c>
      <c r="F582" s="2" t="str">
        <f t="shared" si="96"/>
        <v>176</v>
      </c>
      <c r="G582" s="2" t="str">
        <f t="shared" si="97"/>
        <v>196</v>
      </c>
      <c r="H582" s="2" t="str">
        <f t="shared" si="98"/>
        <v>222</v>
      </c>
      <c r="I582" s="190"/>
    </row>
    <row r="583" spans="1:12" x14ac:dyDescent="0.25">
      <c r="A583" t="s">
        <v>274</v>
      </c>
      <c r="B583" t="s">
        <v>2567</v>
      </c>
      <c r="C583" s="2" t="s">
        <v>275</v>
      </c>
      <c r="D583" s="3" t="s">
        <v>2374</v>
      </c>
      <c r="E583" t="s">
        <v>158</v>
      </c>
      <c r="F583" s="2" t="str">
        <f t="shared" si="96"/>
        <v>179</v>
      </c>
      <c r="G583" s="2" t="str">
        <f t="shared" si="97"/>
        <v>179</v>
      </c>
      <c r="H583" s="2" t="str">
        <f t="shared" si="98"/>
        <v>179</v>
      </c>
      <c r="I583" s="171"/>
    </row>
    <row r="584" spans="1:12" x14ac:dyDescent="0.25">
      <c r="A584" t="s">
        <v>1315</v>
      </c>
      <c r="B584" t="s">
        <v>2567</v>
      </c>
      <c r="C584" s="2" t="s">
        <v>2664</v>
      </c>
      <c r="D584" s="3" t="s">
        <v>2028</v>
      </c>
      <c r="E584" t="s">
        <v>158</v>
      </c>
      <c r="F584" s="5">
        <v>179</v>
      </c>
      <c r="G584" s="5">
        <v>191</v>
      </c>
      <c r="H584" s="5">
        <v>181</v>
      </c>
      <c r="I584" s="353"/>
      <c r="L584" s="7"/>
    </row>
    <row r="585" spans="1:12" x14ac:dyDescent="0.25">
      <c r="A585" t="s">
        <v>182</v>
      </c>
      <c r="B585" t="s">
        <v>2567</v>
      </c>
      <c r="C585" s="2">
        <v>121212</v>
      </c>
      <c r="D585" s="3" t="s">
        <v>1710</v>
      </c>
      <c r="E585" t="s">
        <v>158</v>
      </c>
      <c r="F585" s="2" t="str">
        <f t="shared" ref="F585:F592" si="99">LEFT(D585,FIND(",",D585)-1)</f>
        <v>18</v>
      </c>
      <c r="G585" s="2" t="str">
        <f t="shared" ref="G585:G592" si="100">MID(D585,FIND(",",D585)+1,FIND(",",D585,FIND(",",D585)+1)-FIND(",",D585)-1)</f>
        <v>18</v>
      </c>
      <c r="H585" s="2" t="str">
        <f t="shared" ref="H585:H592" si="101">RIGHT(D585,LEN(D585)-FIND(",",D585,FIND(",",D585)+1))</f>
        <v>18</v>
      </c>
      <c r="I585" s="38"/>
    </row>
    <row r="586" spans="1:12" x14ac:dyDescent="0.25">
      <c r="A586" t="s">
        <v>276</v>
      </c>
      <c r="B586" t="s">
        <v>2567</v>
      </c>
      <c r="C586" s="2" t="s">
        <v>277</v>
      </c>
      <c r="D586" s="3" t="s">
        <v>2375</v>
      </c>
      <c r="E586" t="s">
        <v>158</v>
      </c>
      <c r="F586" s="2" t="str">
        <f t="shared" si="99"/>
        <v>181</v>
      </c>
      <c r="G586" s="2" t="str">
        <f t="shared" si="100"/>
        <v>181</v>
      </c>
      <c r="H586" s="2" t="str">
        <f t="shared" si="101"/>
        <v>181</v>
      </c>
      <c r="I586" s="202"/>
    </row>
    <row r="587" spans="1:12" x14ac:dyDescent="0.25">
      <c r="A587" t="s">
        <v>278</v>
      </c>
      <c r="B587" t="s">
        <v>2567</v>
      </c>
      <c r="C587" s="2" t="s">
        <v>279</v>
      </c>
      <c r="D587" s="3" t="s">
        <v>2376</v>
      </c>
      <c r="E587" t="s">
        <v>158</v>
      </c>
      <c r="F587" s="2" t="str">
        <f t="shared" si="99"/>
        <v>184</v>
      </c>
      <c r="G587" s="2" t="str">
        <f t="shared" si="100"/>
        <v>184</v>
      </c>
      <c r="H587" s="2" t="str">
        <f t="shared" si="101"/>
        <v>184</v>
      </c>
      <c r="I587" s="233"/>
    </row>
    <row r="588" spans="1:12" x14ac:dyDescent="0.25">
      <c r="A588" t="s">
        <v>166</v>
      </c>
      <c r="B588" t="s">
        <v>2567</v>
      </c>
      <c r="C588" s="2" t="s">
        <v>167</v>
      </c>
      <c r="D588" s="3" t="s">
        <v>2340</v>
      </c>
      <c r="E588" t="s">
        <v>158</v>
      </c>
      <c r="F588" s="2" t="str">
        <f t="shared" si="99"/>
        <v>185</v>
      </c>
      <c r="G588" s="2" t="str">
        <f t="shared" si="100"/>
        <v>211</v>
      </c>
      <c r="H588" s="2" t="str">
        <f t="shared" si="101"/>
        <v>238</v>
      </c>
      <c r="I588" s="223"/>
    </row>
    <row r="589" spans="1:12" x14ac:dyDescent="0.25">
      <c r="A589" t="s">
        <v>281</v>
      </c>
      <c r="B589" t="s">
        <v>2567</v>
      </c>
      <c r="C589" s="2" t="s">
        <v>282</v>
      </c>
      <c r="D589" s="3" t="s">
        <v>2378</v>
      </c>
      <c r="E589" t="s">
        <v>158</v>
      </c>
      <c r="F589" s="2" t="str">
        <f t="shared" si="99"/>
        <v>186</v>
      </c>
      <c r="G589" s="2" t="str">
        <f t="shared" si="100"/>
        <v>186</v>
      </c>
      <c r="H589" s="2" t="str">
        <f t="shared" si="101"/>
        <v>186</v>
      </c>
      <c r="I589" s="387"/>
    </row>
    <row r="590" spans="1:12" x14ac:dyDescent="0.25">
      <c r="A590" t="s">
        <v>3256</v>
      </c>
      <c r="B590" t="s">
        <v>2567</v>
      </c>
      <c r="C590" s="2" t="s">
        <v>280</v>
      </c>
      <c r="D590" s="3" t="s">
        <v>2377</v>
      </c>
      <c r="E590" t="s">
        <v>158</v>
      </c>
      <c r="F590" s="2" t="str">
        <f t="shared" si="99"/>
        <v>187</v>
      </c>
      <c r="G590" s="2" t="str">
        <f t="shared" si="100"/>
        <v>187</v>
      </c>
      <c r="H590" s="2" t="str">
        <f t="shared" si="101"/>
        <v>187</v>
      </c>
      <c r="I590" s="317"/>
    </row>
    <row r="591" spans="1:12" x14ac:dyDescent="0.25">
      <c r="A591" t="s">
        <v>283</v>
      </c>
      <c r="B591" t="s">
        <v>2567</v>
      </c>
      <c r="C591" s="2" t="s">
        <v>284</v>
      </c>
      <c r="D591" s="3" t="s">
        <v>2379</v>
      </c>
      <c r="E591" t="s">
        <v>158</v>
      </c>
      <c r="F591" s="2" t="str">
        <f t="shared" si="99"/>
        <v>189</v>
      </c>
      <c r="G591" s="2" t="str">
        <f t="shared" si="100"/>
        <v>189</v>
      </c>
      <c r="H591" s="2" t="str">
        <f t="shared" si="101"/>
        <v>189</v>
      </c>
      <c r="I591" s="47"/>
    </row>
    <row r="592" spans="1:12" x14ac:dyDescent="0.25">
      <c r="A592" t="s">
        <v>158</v>
      </c>
      <c r="B592" t="s">
        <v>2567</v>
      </c>
      <c r="C592" s="2" t="s">
        <v>159</v>
      </c>
      <c r="D592" s="3" t="s">
        <v>2338</v>
      </c>
      <c r="E592" t="s">
        <v>158</v>
      </c>
      <c r="F592" s="2" t="str">
        <f t="shared" si="99"/>
        <v>190</v>
      </c>
      <c r="G592" s="2" t="str">
        <f t="shared" si="100"/>
        <v>190</v>
      </c>
      <c r="H592" s="2" t="str">
        <f t="shared" si="101"/>
        <v>190</v>
      </c>
      <c r="I592" s="37"/>
    </row>
    <row r="593" spans="1:12" x14ac:dyDescent="0.25">
      <c r="A593" t="s">
        <v>1338</v>
      </c>
      <c r="B593" t="s">
        <v>2567</v>
      </c>
      <c r="C593" s="2" t="s">
        <v>2665</v>
      </c>
      <c r="D593" s="3" t="s">
        <v>2053</v>
      </c>
      <c r="E593" t="s">
        <v>158</v>
      </c>
      <c r="F593" s="5">
        <v>191</v>
      </c>
      <c r="G593" s="5">
        <v>176</v>
      </c>
      <c r="H593" s="5">
        <v>179</v>
      </c>
      <c r="I593" s="804"/>
      <c r="L593" s="7"/>
    </row>
    <row r="594" spans="1:12" x14ac:dyDescent="0.25">
      <c r="A594" t="s">
        <v>285</v>
      </c>
      <c r="B594" t="s">
        <v>2567</v>
      </c>
      <c r="C594" s="2" t="s">
        <v>286</v>
      </c>
      <c r="D594" s="3" t="s">
        <v>2380</v>
      </c>
      <c r="E594" t="s">
        <v>158</v>
      </c>
      <c r="F594" s="2" t="str">
        <f t="shared" ref="F594:F631" si="102">LEFT(D594,FIND(",",D594)-1)</f>
        <v>191</v>
      </c>
      <c r="G594" s="2" t="str">
        <f t="shared" ref="G594:G631" si="103">MID(D594,FIND(",",D594)+1,FIND(",",D594,FIND(",",D594)+1)-FIND(",",D594)-1)</f>
        <v>191</v>
      </c>
      <c r="H594" s="2" t="str">
        <f t="shared" ref="H594:H631" si="104">RIGHT(D594,LEN(D594)-FIND(",",D594,FIND(",",D594)+1))</f>
        <v>191</v>
      </c>
      <c r="I594" s="466"/>
    </row>
    <row r="595" spans="1:12" x14ac:dyDescent="0.25">
      <c r="A595" t="s">
        <v>8</v>
      </c>
      <c r="B595" t="s">
        <v>2567</v>
      </c>
      <c r="C595" s="2" t="s">
        <v>157</v>
      </c>
      <c r="D595" s="3" t="s">
        <v>1694</v>
      </c>
      <c r="E595" t="s">
        <v>158</v>
      </c>
      <c r="F595" s="2" t="str">
        <f t="shared" si="102"/>
        <v>192</v>
      </c>
      <c r="G595" s="2" t="str">
        <f t="shared" si="103"/>
        <v xml:space="preserve"> 192</v>
      </c>
      <c r="H595" s="2" t="str">
        <f t="shared" si="104"/>
        <v xml:space="preserve"> 192</v>
      </c>
      <c r="I595" s="17"/>
    </row>
    <row r="596" spans="1:12" x14ac:dyDescent="0.25">
      <c r="A596" t="s">
        <v>150</v>
      </c>
      <c r="B596" t="s">
        <v>2567</v>
      </c>
      <c r="C596" s="2" t="s">
        <v>157</v>
      </c>
      <c r="D596" s="3" t="s">
        <v>2251</v>
      </c>
      <c r="E596" t="s">
        <v>158</v>
      </c>
      <c r="F596" s="2" t="str">
        <f t="shared" si="102"/>
        <v>192</v>
      </c>
      <c r="G596" s="2" t="str">
        <f t="shared" si="103"/>
        <v>192</v>
      </c>
      <c r="H596" s="2" t="str">
        <f t="shared" si="104"/>
        <v>192</v>
      </c>
      <c r="I596" s="17"/>
    </row>
    <row r="597" spans="1:12" x14ac:dyDescent="0.25">
      <c r="A597" t="s">
        <v>156</v>
      </c>
      <c r="B597" t="s">
        <v>2567</v>
      </c>
      <c r="C597" s="2" t="s">
        <v>157</v>
      </c>
      <c r="D597" s="3" t="s">
        <v>2251</v>
      </c>
      <c r="E597" t="s">
        <v>158</v>
      </c>
      <c r="F597" s="2" t="str">
        <f t="shared" si="102"/>
        <v>192</v>
      </c>
      <c r="G597" s="2" t="str">
        <f t="shared" si="103"/>
        <v>192</v>
      </c>
      <c r="H597" s="2" t="str">
        <f t="shared" si="104"/>
        <v>192</v>
      </c>
      <c r="I597" s="17"/>
    </row>
    <row r="598" spans="1:12" x14ac:dyDescent="0.25">
      <c r="A598" t="s">
        <v>287</v>
      </c>
      <c r="B598" t="s">
        <v>2567</v>
      </c>
      <c r="C598" s="2" t="s">
        <v>288</v>
      </c>
      <c r="D598" s="3" t="s">
        <v>2381</v>
      </c>
      <c r="E598" t="s">
        <v>158</v>
      </c>
      <c r="F598" s="2" t="str">
        <f t="shared" si="102"/>
        <v>194</v>
      </c>
      <c r="G598" s="2" t="str">
        <f t="shared" si="103"/>
        <v>194</v>
      </c>
      <c r="H598" s="2" t="str">
        <f t="shared" si="104"/>
        <v>194</v>
      </c>
      <c r="I598" s="143"/>
    </row>
    <row r="599" spans="1:12" x14ac:dyDescent="0.25">
      <c r="A599" t="s">
        <v>289</v>
      </c>
      <c r="B599" t="s">
        <v>2567</v>
      </c>
      <c r="C599" s="2" t="s">
        <v>290</v>
      </c>
      <c r="D599" s="3" t="s">
        <v>2382</v>
      </c>
      <c r="E599" t="s">
        <v>158</v>
      </c>
      <c r="F599" s="2" t="str">
        <f t="shared" si="102"/>
        <v>196</v>
      </c>
      <c r="G599" s="2" t="str">
        <f t="shared" si="103"/>
        <v>196</v>
      </c>
      <c r="H599" s="2" t="str">
        <f t="shared" si="104"/>
        <v>196</v>
      </c>
      <c r="I599" s="172"/>
    </row>
    <row r="600" spans="1:12" x14ac:dyDescent="0.25">
      <c r="A600" t="s">
        <v>164</v>
      </c>
      <c r="B600" t="s">
        <v>2567</v>
      </c>
      <c r="C600" s="2" t="s">
        <v>165</v>
      </c>
      <c r="D600" s="3" t="s">
        <v>2339</v>
      </c>
      <c r="E600" t="s">
        <v>158</v>
      </c>
      <c r="F600" s="2" t="str">
        <f t="shared" si="102"/>
        <v>198</v>
      </c>
      <c r="G600" s="2" t="str">
        <f t="shared" si="103"/>
        <v>226</v>
      </c>
      <c r="H600" s="2" t="str">
        <f t="shared" si="104"/>
        <v>255</v>
      </c>
      <c r="I600" s="192"/>
    </row>
    <row r="601" spans="1:12" x14ac:dyDescent="0.25">
      <c r="A601" t="s">
        <v>291</v>
      </c>
      <c r="B601" t="s">
        <v>2567</v>
      </c>
      <c r="C601" s="2" t="s">
        <v>292</v>
      </c>
      <c r="D601" s="3" t="s">
        <v>2383</v>
      </c>
      <c r="E601" t="s">
        <v>158</v>
      </c>
      <c r="F601" s="2" t="str">
        <f t="shared" si="102"/>
        <v>199</v>
      </c>
      <c r="G601" s="2" t="str">
        <f t="shared" si="103"/>
        <v>199</v>
      </c>
      <c r="H601" s="2" t="str">
        <f t="shared" si="104"/>
        <v>199</v>
      </c>
      <c r="I601" s="203"/>
    </row>
    <row r="602" spans="1:12" x14ac:dyDescent="0.25">
      <c r="A602" t="s">
        <v>183</v>
      </c>
      <c r="B602" t="s">
        <v>2567</v>
      </c>
      <c r="C602" s="2">
        <v>141414</v>
      </c>
      <c r="D602" s="3" t="s">
        <v>1711</v>
      </c>
      <c r="E602" t="s">
        <v>158</v>
      </c>
      <c r="F602" s="2" t="str">
        <f t="shared" si="102"/>
        <v>20</v>
      </c>
      <c r="G602" s="2" t="str">
        <f t="shared" si="103"/>
        <v>20</v>
      </c>
      <c r="H602" s="2" t="str">
        <f t="shared" si="104"/>
        <v>20</v>
      </c>
      <c r="I602" s="766"/>
    </row>
    <row r="603" spans="1:12" x14ac:dyDescent="0.25">
      <c r="A603" t="s">
        <v>293</v>
      </c>
      <c r="B603" t="s">
        <v>2567</v>
      </c>
      <c r="C603" s="2" t="s">
        <v>294</v>
      </c>
      <c r="D603" s="3" t="s">
        <v>2384</v>
      </c>
      <c r="E603" t="s">
        <v>158</v>
      </c>
      <c r="F603" s="2" t="str">
        <f t="shared" si="102"/>
        <v>201</v>
      </c>
      <c r="G603" s="2" t="str">
        <f t="shared" si="103"/>
        <v>201</v>
      </c>
      <c r="H603" s="2" t="str">
        <f t="shared" si="104"/>
        <v>201</v>
      </c>
      <c r="I603" s="234"/>
    </row>
    <row r="604" spans="1:12" x14ac:dyDescent="0.25">
      <c r="A604" t="s">
        <v>295</v>
      </c>
      <c r="B604" t="s">
        <v>2567</v>
      </c>
      <c r="C604" s="2" t="s">
        <v>296</v>
      </c>
      <c r="D604" s="3" t="s">
        <v>2385</v>
      </c>
      <c r="E604" t="s">
        <v>158</v>
      </c>
      <c r="F604" s="2" t="str">
        <f t="shared" si="102"/>
        <v>204</v>
      </c>
      <c r="G604" s="2" t="str">
        <f t="shared" si="103"/>
        <v>204</v>
      </c>
      <c r="H604" s="2" t="str">
        <f t="shared" si="104"/>
        <v>204</v>
      </c>
      <c r="I604" s="535"/>
    </row>
    <row r="605" spans="1:12" x14ac:dyDescent="0.25">
      <c r="A605" t="s">
        <v>342</v>
      </c>
      <c r="B605" t="s">
        <v>2567</v>
      </c>
      <c r="C605" s="2" t="s">
        <v>343</v>
      </c>
      <c r="D605" s="3" t="s">
        <v>2406</v>
      </c>
      <c r="E605" t="s">
        <v>158</v>
      </c>
      <c r="F605" s="2" t="str">
        <f t="shared" si="102"/>
        <v>205</v>
      </c>
      <c r="G605" s="2" t="str">
        <f t="shared" si="103"/>
        <v>205</v>
      </c>
      <c r="H605" s="2" t="str">
        <f t="shared" si="104"/>
        <v>205</v>
      </c>
      <c r="I605" s="642"/>
    </row>
    <row r="606" spans="1:12" x14ac:dyDescent="0.25">
      <c r="A606" t="s">
        <v>297</v>
      </c>
      <c r="B606" t="s">
        <v>2567</v>
      </c>
      <c r="C606" s="2" t="s">
        <v>298</v>
      </c>
      <c r="D606" s="3" t="s">
        <v>2386</v>
      </c>
      <c r="E606" t="s">
        <v>158</v>
      </c>
      <c r="F606" s="2" t="str">
        <f t="shared" si="102"/>
        <v>207</v>
      </c>
      <c r="G606" s="2" t="str">
        <f t="shared" si="103"/>
        <v>207</v>
      </c>
      <c r="H606" s="2" t="str">
        <f t="shared" si="104"/>
        <v>207</v>
      </c>
      <c r="I606" s="582"/>
    </row>
    <row r="607" spans="1:12" x14ac:dyDescent="0.25">
      <c r="A607" t="s">
        <v>299</v>
      </c>
      <c r="B607" t="s">
        <v>2567</v>
      </c>
      <c r="C607" s="2" t="s">
        <v>300</v>
      </c>
      <c r="D607" s="3" t="s">
        <v>2387</v>
      </c>
      <c r="E607" t="s">
        <v>158</v>
      </c>
      <c r="F607" s="2" t="str">
        <f t="shared" si="102"/>
        <v>209</v>
      </c>
      <c r="G607" s="2" t="str">
        <f t="shared" si="103"/>
        <v>209</v>
      </c>
      <c r="H607" s="2" t="str">
        <f t="shared" si="104"/>
        <v>209</v>
      </c>
      <c r="I607" s="48"/>
    </row>
    <row r="608" spans="1:12" x14ac:dyDescent="0.25">
      <c r="A608" t="s">
        <v>160</v>
      </c>
      <c r="B608" t="s">
        <v>2567</v>
      </c>
      <c r="C608" s="2" t="s">
        <v>161</v>
      </c>
      <c r="D608" s="3" t="s">
        <v>1693</v>
      </c>
      <c r="E608" t="s">
        <v>158</v>
      </c>
      <c r="F608" s="2" t="str">
        <f t="shared" si="102"/>
        <v>211</v>
      </c>
      <c r="G608" s="2" t="str">
        <f t="shared" si="103"/>
        <v xml:space="preserve"> 211</v>
      </c>
      <c r="H608" s="2" t="str">
        <f t="shared" si="104"/>
        <v xml:space="preserve"> 211</v>
      </c>
      <c r="I608" s="131"/>
    </row>
    <row r="609" spans="1:9" x14ac:dyDescent="0.25">
      <c r="A609" t="s">
        <v>151</v>
      </c>
      <c r="B609" t="s">
        <v>2567</v>
      </c>
      <c r="C609" s="2" t="s">
        <v>161</v>
      </c>
      <c r="D609" s="3" t="s">
        <v>2336</v>
      </c>
      <c r="E609" t="s">
        <v>158</v>
      </c>
      <c r="F609" s="2" t="str">
        <f t="shared" si="102"/>
        <v>211</v>
      </c>
      <c r="G609" s="2" t="str">
        <f t="shared" si="103"/>
        <v>211</v>
      </c>
      <c r="H609" s="2" t="str">
        <f t="shared" si="104"/>
        <v>211</v>
      </c>
      <c r="I609" s="131"/>
    </row>
    <row r="610" spans="1:9" x14ac:dyDescent="0.25">
      <c r="A610" t="s">
        <v>160</v>
      </c>
      <c r="B610" t="s">
        <v>2567</v>
      </c>
      <c r="C610" s="2" t="s">
        <v>161</v>
      </c>
      <c r="D610" s="3" t="s">
        <v>2336</v>
      </c>
      <c r="E610" t="s">
        <v>158</v>
      </c>
      <c r="F610" s="2" t="str">
        <f t="shared" si="102"/>
        <v>211</v>
      </c>
      <c r="G610" s="2" t="str">
        <f t="shared" si="103"/>
        <v>211</v>
      </c>
      <c r="H610" s="2" t="str">
        <f t="shared" si="104"/>
        <v>211</v>
      </c>
      <c r="I610" s="131"/>
    </row>
    <row r="611" spans="1:9" x14ac:dyDescent="0.25">
      <c r="A611" t="s">
        <v>301</v>
      </c>
      <c r="B611" t="s">
        <v>2567</v>
      </c>
      <c r="C611" s="2" t="s">
        <v>302</v>
      </c>
      <c r="D611" s="3" t="s">
        <v>2388</v>
      </c>
      <c r="E611" t="s">
        <v>158</v>
      </c>
      <c r="F611" s="2" t="str">
        <f t="shared" si="102"/>
        <v>212</v>
      </c>
      <c r="G611" s="2" t="str">
        <f t="shared" si="103"/>
        <v>212</v>
      </c>
      <c r="H611" s="2" t="str">
        <f t="shared" si="104"/>
        <v>212</v>
      </c>
      <c r="I611" s="641"/>
    </row>
    <row r="612" spans="1:9" x14ac:dyDescent="0.25">
      <c r="A612" t="s">
        <v>303</v>
      </c>
      <c r="B612" t="s">
        <v>2567</v>
      </c>
      <c r="C612" s="2" t="s">
        <v>304</v>
      </c>
      <c r="D612" s="3" t="s">
        <v>2389</v>
      </c>
      <c r="E612" t="s">
        <v>158</v>
      </c>
      <c r="F612" s="2" t="str">
        <f t="shared" si="102"/>
        <v>214</v>
      </c>
      <c r="G612" s="2" t="str">
        <f t="shared" si="103"/>
        <v>214</v>
      </c>
      <c r="H612" s="2" t="str">
        <f t="shared" si="104"/>
        <v>214</v>
      </c>
      <c r="I612" s="144"/>
    </row>
    <row r="613" spans="1:9" x14ac:dyDescent="0.25">
      <c r="A613" t="s">
        <v>305</v>
      </c>
      <c r="B613" t="s">
        <v>2567</v>
      </c>
      <c r="C613" s="2" t="s">
        <v>306</v>
      </c>
      <c r="D613" s="3" t="s">
        <v>2390</v>
      </c>
      <c r="E613" t="s">
        <v>158</v>
      </c>
      <c r="F613" s="2" t="str">
        <f t="shared" si="102"/>
        <v>217</v>
      </c>
      <c r="G613" s="2" t="str">
        <f t="shared" si="103"/>
        <v>217</v>
      </c>
      <c r="H613" s="2" t="str">
        <f t="shared" si="104"/>
        <v>217</v>
      </c>
      <c r="I613" s="173"/>
    </row>
    <row r="614" spans="1:9" x14ac:dyDescent="0.25">
      <c r="A614" t="s">
        <v>307</v>
      </c>
      <c r="B614" t="s">
        <v>2567</v>
      </c>
      <c r="C614" s="2" t="s">
        <v>308</v>
      </c>
      <c r="D614" s="3" t="s">
        <v>2391</v>
      </c>
      <c r="E614" t="s">
        <v>158</v>
      </c>
      <c r="F614" s="2" t="str">
        <f t="shared" si="102"/>
        <v>219</v>
      </c>
      <c r="G614" s="2" t="str">
        <f t="shared" si="103"/>
        <v>219</v>
      </c>
      <c r="H614" s="2" t="str">
        <f t="shared" si="104"/>
        <v>219</v>
      </c>
      <c r="I614" s="204"/>
    </row>
    <row r="615" spans="1:9" x14ac:dyDescent="0.25">
      <c r="A615" t="s">
        <v>1559</v>
      </c>
      <c r="B615" t="s">
        <v>2567</v>
      </c>
      <c r="C615" s="2" t="s">
        <v>1138</v>
      </c>
      <c r="D615" s="3" t="s">
        <v>1692</v>
      </c>
      <c r="E615" t="s">
        <v>158</v>
      </c>
      <c r="F615" s="2" t="str">
        <f t="shared" si="102"/>
        <v>220</v>
      </c>
      <c r="G615" s="2" t="str">
        <f t="shared" si="103"/>
        <v xml:space="preserve"> 220</v>
      </c>
      <c r="H615" s="2" t="str">
        <f t="shared" si="104"/>
        <v xml:space="preserve"> 220</v>
      </c>
      <c r="I615" s="99"/>
    </row>
    <row r="616" spans="1:9" x14ac:dyDescent="0.25">
      <c r="A616" t="s">
        <v>152</v>
      </c>
      <c r="B616" t="s">
        <v>2567</v>
      </c>
      <c r="C616" s="2" t="s">
        <v>1138</v>
      </c>
      <c r="D616" s="3" t="s">
        <v>2337</v>
      </c>
      <c r="E616" t="s">
        <v>158</v>
      </c>
      <c r="F616" s="2" t="str">
        <f t="shared" si="102"/>
        <v>220</v>
      </c>
      <c r="G616" s="2" t="str">
        <f t="shared" si="103"/>
        <v>220</v>
      </c>
      <c r="H616" s="2" t="str">
        <f t="shared" si="104"/>
        <v>220</v>
      </c>
      <c r="I616" s="99"/>
    </row>
    <row r="617" spans="1:9" x14ac:dyDescent="0.25">
      <c r="A617" t="s">
        <v>3257</v>
      </c>
      <c r="B617" t="s">
        <v>2567</v>
      </c>
      <c r="C617" s="2" t="s">
        <v>311</v>
      </c>
      <c r="D617" s="3" t="s">
        <v>2393</v>
      </c>
      <c r="E617" t="s">
        <v>158</v>
      </c>
      <c r="F617" s="2" t="str">
        <f t="shared" si="102"/>
        <v>221</v>
      </c>
      <c r="G617" s="2" t="str">
        <f t="shared" si="103"/>
        <v>221</v>
      </c>
      <c r="H617" s="2" t="str">
        <f t="shared" si="104"/>
        <v>221</v>
      </c>
      <c r="I617" s="698"/>
    </row>
    <row r="618" spans="1:9" x14ac:dyDescent="0.25">
      <c r="A618" t="s">
        <v>309</v>
      </c>
      <c r="B618" t="s">
        <v>2567</v>
      </c>
      <c r="C618" s="2" t="s">
        <v>310</v>
      </c>
      <c r="D618" s="3" t="s">
        <v>2392</v>
      </c>
      <c r="E618" t="s">
        <v>158</v>
      </c>
      <c r="F618" s="2" t="str">
        <f t="shared" si="102"/>
        <v>222</v>
      </c>
      <c r="G618" s="2" t="str">
        <f t="shared" si="103"/>
        <v>222</v>
      </c>
      <c r="H618" s="2" t="str">
        <f t="shared" si="104"/>
        <v>222</v>
      </c>
      <c r="I618" s="235"/>
    </row>
    <row r="619" spans="1:9" x14ac:dyDescent="0.25">
      <c r="A619" t="s">
        <v>312</v>
      </c>
      <c r="B619" t="s">
        <v>2567</v>
      </c>
      <c r="C619" s="2" t="s">
        <v>313</v>
      </c>
      <c r="D619" s="3" t="s">
        <v>2394</v>
      </c>
      <c r="E619" t="s">
        <v>158</v>
      </c>
      <c r="F619" s="2" t="str">
        <f t="shared" si="102"/>
        <v>224</v>
      </c>
      <c r="G619" s="2" t="str">
        <f t="shared" si="103"/>
        <v>224</v>
      </c>
      <c r="H619" s="2" t="str">
        <f t="shared" si="104"/>
        <v>224</v>
      </c>
      <c r="I619" s="770"/>
    </row>
    <row r="620" spans="1:9" x14ac:dyDescent="0.25">
      <c r="A620" t="s">
        <v>314</v>
      </c>
      <c r="B620" t="s">
        <v>2567</v>
      </c>
      <c r="C620" s="2" t="s">
        <v>315</v>
      </c>
      <c r="D620" s="3" t="s">
        <v>2395</v>
      </c>
      <c r="E620" t="s">
        <v>158</v>
      </c>
      <c r="F620" s="2" t="str">
        <f t="shared" si="102"/>
        <v>227</v>
      </c>
      <c r="G620" s="2" t="str">
        <f t="shared" si="103"/>
        <v>227</v>
      </c>
      <c r="H620" s="2" t="str">
        <f t="shared" si="104"/>
        <v>227</v>
      </c>
      <c r="I620" s="49"/>
    </row>
    <row r="621" spans="1:9" x14ac:dyDescent="0.25">
      <c r="A621" t="s">
        <v>316</v>
      </c>
      <c r="B621" t="s">
        <v>2567</v>
      </c>
      <c r="C621" s="2" t="s">
        <v>317</v>
      </c>
      <c r="D621" s="3" t="s">
        <v>2396</v>
      </c>
      <c r="E621" t="s">
        <v>158</v>
      </c>
      <c r="F621" s="2" t="str">
        <f t="shared" si="102"/>
        <v>229</v>
      </c>
      <c r="G621" s="2" t="str">
        <f t="shared" si="103"/>
        <v>229</v>
      </c>
      <c r="H621" s="2" t="str">
        <f t="shared" si="104"/>
        <v>229</v>
      </c>
      <c r="I621" s="318"/>
    </row>
    <row r="622" spans="1:9" x14ac:dyDescent="0.25">
      <c r="A622" t="s">
        <v>184</v>
      </c>
      <c r="B622" t="s">
        <v>2567</v>
      </c>
      <c r="C622" s="2">
        <v>171717</v>
      </c>
      <c r="D622" s="3" t="s">
        <v>1712</v>
      </c>
      <c r="E622" t="s">
        <v>158</v>
      </c>
      <c r="F622" s="2" t="str">
        <f t="shared" si="102"/>
        <v>23</v>
      </c>
      <c r="G622" s="2" t="str">
        <f t="shared" si="103"/>
        <v>23</v>
      </c>
      <c r="H622" s="2" t="str">
        <f t="shared" si="104"/>
        <v>23</v>
      </c>
      <c r="I622" s="134"/>
    </row>
    <row r="623" spans="1:9" x14ac:dyDescent="0.25">
      <c r="A623" t="s">
        <v>138</v>
      </c>
      <c r="B623" t="s">
        <v>2567</v>
      </c>
      <c r="C623" s="2" t="s">
        <v>1036</v>
      </c>
      <c r="D623" s="3" t="s">
        <v>2329</v>
      </c>
      <c r="E623" t="s">
        <v>158</v>
      </c>
      <c r="F623" s="2" t="str">
        <f t="shared" si="102"/>
        <v>230</v>
      </c>
      <c r="G623" s="2" t="str">
        <f t="shared" si="103"/>
        <v>230</v>
      </c>
      <c r="H623" s="2" t="str">
        <f t="shared" si="104"/>
        <v>250</v>
      </c>
      <c r="I623" s="222"/>
    </row>
    <row r="624" spans="1:9" x14ac:dyDescent="0.25">
      <c r="A624" t="s">
        <v>318</v>
      </c>
      <c r="B624" t="s">
        <v>2567</v>
      </c>
      <c r="C624" s="2" t="s">
        <v>319</v>
      </c>
      <c r="D624" s="3" t="s">
        <v>2397</v>
      </c>
      <c r="E624" t="s">
        <v>158</v>
      </c>
      <c r="F624" s="2" t="str">
        <f t="shared" si="102"/>
        <v>232</v>
      </c>
      <c r="G624" s="2" t="str">
        <f t="shared" si="103"/>
        <v>232</v>
      </c>
      <c r="H624" s="2" t="str">
        <f t="shared" si="104"/>
        <v>232</v>
      </c>
      <c r="I624" s="145"/>
    </row>
    <row r="625" spans="1:12" x14ac:dyDescent="0.25">
      <c r="A625" t="s">
        <v>320</v>
      </c>
      <c r="B625" t="s">
        <v>2567</v>
      </c>
      <c r="C625" s="2" t="s">
        <v>321</v>
      </c>
      <c r="D625" s="3" t="s">
        <v>2398</v>
      </c>
      <c r="E625" t="s">
        <v>158</v>
      </c>
      <c r="F625" s="2" t="str">
        <f t="shared" si="102"/>
        <v>235</v>
      </c>
      <c r="G625" s="2" t="str">
        <f t="shared" si="103"/>
        <v>235</v>
      </c>
      <c r="H625" s="2" t="str">
        <f t="shared" si="104"/>
        <v>235</v>
      </c>
      <c r="I625" s="174"/>
    </row>
    <row r="626" spans="1:12" x14ac:dyDescent="0.25">
      <c r="A626" t="s">
        <v>322</v>
      </c>
      <c r="B626" t="s">
        <v>2567</v>
      </c>
      <c r="C626" s="2" t="s">
        <v>323</v>
      </c>
      <c r="D626" s="3" t="s">
        <v>2399</v>
      </c>
      <c r="E626" t="s">
        <v>158</v>
      </c>
      <c r="F626" s="2" t="str">
        <f t="shared" si="102"/>
        <v>237</v>
      </c>
      <c r="G626" s="2" t="str">
        <f t="shared" si="103"/>
        <v>237</v>
      </c>
      <c r="H626" s="2" t="str">
        <f t="shared" si="104"/>
        <v>237</v>
      </c>
      <c r="I626" s="205"/>
    </row>
    <row r="627" spans="1:12" x14ac:dyDescent="0.25">
      <c r="A627" t="s">
        <v>3258</v>
      </c>
      <c r="B627" t="s">
        <v>2567</v>
      </c>
      <c r="C627" s="2" t="s">
        <v>324</v>
      </c>
      <c r="D627" s="3" t="s">
        <v>2400</v>
      </c>
      <c r="E627" t="s">
        <v>158</v>
      </c>
      <c r="F627" s="2" t="str">
        <f t="shared" si="102"/>
        <v>238</v>
      </c>
      <c r="G627" s="2" t="str">
        <f t="shared" si="103"/>
        <v>238</v>
      </c>
      <c r="H627" s="2" t="str">
        <f t="shared" si="104"/>
        <v>238</v>
      </c>
      <c r="I627" s="236"/>
    </row>
    <row r="628" spans="1:12" x14ac:dyDescent="0.25">
      <c r="A628" t="s">
        <v>325</v>
      </c>
      <c r="B628" t="s">
        <v>2567</v>
      </c>
      <c r="C628" s="2" t="s">
        <v>326</v>
      </c>
      <c r="D628" s="3" t="s">
        <v>2401</v>
      </c>
      <c r="E628" t="s">
        <v>158</v>
      </c>
      <c r="F628" s="2" t="str">
        <f t="shared" si="102"/>
        <v>240</v>
      </c>
      <c r="G628" s="2" t="str">
        <f t="shared" si="103"/>
        <v>240</v>
      </c>
      <c r="H628" s="2" t="str">
        <f t="shared" si="104"/>
        <v>240</v>
      </c>
      <c r="I628" s="388"/>
    </row>
    <row r="629" spans="1:12" x14ac:dyDescent="0.25">
      <c r="A629" t="s">
        <v>327</v>
      </c>
      <c r="B629" t="s">
        <v>2567</v>
      </c>
      <c r="C629" s="2" t="s">
        <v>328</v>
      </c>
      <c r="D629" s="3" t="s">
        <v>2402</v>
      </c>
      <c r="E629" t="s">
        <v>158</v>
      </c>
      <c r="F629" s="2" t="str">
        <f t="shared" si="102"/>
        <v>242</v>
      </c>
      <c r="G629" s="2" t="str">
        <f t="shared" si="103"/>
        <v>242</v>
      </c>
      <c r="H629" s="2" t="str">
        <f t="shared" si="104"/>
        <v>242</v>
      </c>
      <c r="I629" s="467"/>
    </row>
    <row r="630" spans="1:12" x14ac:dyDescent="0.25">
      <c r="A630" t="s">
        <v>153</v>
      </c>
      <c r="B630" t="s">
        <v>2567</v>
      </c>
      <c r="C630" s="2" t="s">
        <v>330</v>
      </c>
      <c r="D630" s="3" t="s">
        <v>2161</v>
      </c>
      <c r="E630" t="s">
        <v>158</v>
      </c>
      <c r="F630" s="2" t="str">
        <f t="shared" si="102"/>
        <v>245</v>
      </c>
      <c r="G630" s="2" t="str">
        <f t="shared" si="103"/>
        <v>245</v>
      </c>
      <c r="H630" s="2" t="str">
        <f t="shared" si="104"/>
        <v>245</v>
      </c>
      <c r="I630" s="50"/>
    </row>
    <row r="631" spans="1:12" x14ac:dyDescent="0.25">
      <c r="A631" t="s">
        <v>329</v>
      </c>
      <c r="B631" t="s">
        <v>2567</v>
      </c>
      <c r="C631" s="2" t="s">
        <v>330</v>
      </c>
      <c r="D631" s="3" t="s">
        <v>2161</v>
      </c>
      <c r="E631" t="s">
        <v>158</v>
      </c>
      <c r="F631" s="2" t="str">
        <f t="shared" si="102"/>
        <v>245</v>
      </c>
      <c r="G631" s="2" t="str">
        <f t="shared" si="103"/>
        <v>245</v>
      </c>
      <c r="H631" s="2" t="str">
        <f t="shared" si="104"/>
        <v>245</v>
      </c>
      <c r="I631" s="50"/>
    </row>
    <row r="632" spans="1:12" x14ac:dyDescent="0.25">
      <c r="A632" t="s">
        <v>1433</v>
      </c>
      <c r="B632" t="s">
        <v>2567</v>
      </c>
      <c r="C632" s="2" t="s">
        <v>330</v>
      </c>
      <c r="D632" s="3" t="s">
        <v>2161</v>
      </c>
      <c r="E632" t="s">
        <v>158</v>
      </c>
      <c r="F632" s="5">
        <v>245</v>
      </c>
      <c r="G632" s="5">
        <v>245</v>
      </c>
      <c r="H632" s="5">
        <v>245</v>
      </c>
      <c r="I632" s="50"/>
      <c r="L632" s="7"/>
    </row>
    <row r="633" spans="1:12" x14ac:dyDescent="0.25">
      <c r="A633" t="s">
        <v>331</v>
      </c>
      <c r="B633" t="s">
        <v>2567</v>
      </c>
      <c r="C633" s="2" t="s">
        <v>332</v>
      </c>
      <c r="D633" s="3" t="s">
        <v>2403</v>
      </c>
      <c r="E633" t="s">
        <v>158</v>
      </c>
      <c r="F633" s="2" t="str">
        <f t="shared" ref="F633:F639" si="105">LEFT(D633,FIND(",",D633)-1)</f>
        <v>247</v>
      </c>
      <c r="G633" s="2" t="str">
        <f t="shared" ref="G633:G639" si="106">MID(D633,FIND(",",D633)+1,FIND(",",D633,FIND(",",D633)+1)-FIND(",",D633)-1)</f>
        <v>247</v>
      </c>
      <c r="H633" s="2" t="str">
        <f t="shared" ref="H633:H639" si="107">RIGHT(D633,LEN(D633)-FIND(",",D633,FIND(",",D633)+1))</f>
        <v>247</v>
      </c>
      <c r="I633" s="536"/>
    </row>
    <row r="634" spans="1:12" x14ac:dyDescent="0.25">
      <c r="A634" t="s">
        <v>333</v>
      </c>
      <c r="B634" t="s">
        <v>2567</v>
      </c>
      <c r="C634" s="2" t="s">
        <v>334</v>
      </c>
      <c r="D634" s="3" t="s">
        <v>2404</v>
      </c>
      <c r="E634" t="s">
        <v>158</v>
      </c>
      <c r="F634" s="2" t="str">
        <f t="shared" si="105"/>
        <v>250</v>
      </c>
      <c r="G634" s="2" t="str">
        <f t="shared" si="106"/>
        <v>250</v>
      </c>
      <c r="H634" s="2" t="str">
        <f t="shared" si="107"/>
        <v>250</v>
      </c>
      <c r="I634" s="146"/>
    </row>
    <row r="635" spans="1:12" x14ac:dyDescent="0.25">
      <c r="A635" t="s">
        <v>335</v>
      </c>
      <c r="B635" t="s">
        <v>2567</v>
      </c>
      <c r="C635" s="2" t="s">
        <v>336</v>
      </c>
      <c r="D635" s="3" t="s">
        <v>2405</v>
      </c>
      <c r="E635" t="s">
        <v>158</v>
      </c>
      <c r="F635" s="2" t="str">
        <f t="shared" si="105"/>
        <v>252</v>
      </c>
      <c r="G635" s="2" t="str">
        <f t="shared" si="106"/>
        <v>252</v>
      </c>
      <c r="H635" s="2" t="str">
        <f t="shared" si="107"/>
        <v>252</v>
      </c>
      <c r="I635" s="175"/>
    </row>
    <row r="636" spans="1:12" x14ac:dyDescent="0.25">
      <c r="A636" t="s">
        <v>154</v>
      </c>
      <c r="B636" t="s">
        <v>2567</v>
      </c>
      <c r="C636" s="2" t="s">
        <v>338</v>
      </c>
      <c r="D636" s="3" t="s">
        <v>2248</v>
      </c>
      <c r="E636" t="s">
        <v>158</v>
      </c>
      <c r="F636" s="2" t="str">
        <f t="shared" si="105"/>
        <v>255</v>
      </c>
      <c r="G636" s="2" t="str">
        <f t="shared" si="106"/>
        <v>255</v>
      </c>
      <c r="H636" s="2" t="str">
        <f t="shared" si="107"/>
        <v>255</v>
      </c>
      <c r="I636" s="18"/>
    </row>
    <row r="637" spans="1:12" x14ac:dyDescent="0.25">
      <c r="A637" t="s">
        <v>337</v>
      </c>
      <c r="B637" t="s">
        <v>2567</v>
      </c>
      <c r="C637" s="2" t="s">
        <v>338</v>
      </c>
      <c r="D637" s="3" t="s">
        <v>2248</v>
      </c>
      <c r="E637" t="s">
        <v>158</v>
      </c>
      <c r="F637" s="2" t="str">
        <f t="shared" si="105"/>
        <v>255</v>
      </c>
      <c r="G637" s="2" t="str">
        <f t="shared" si="106"/>
        <v>255</v>
      </c>
      <c r="H637" s="2" t="str">
        <f t="shared" si="107"/>
        <v>255</v>
      </c>
      <c r="I637" s="18"/>
    </row>
    <row r="638" spans="1:12" x14ac:dyDescent="0.25">
      <c r="A638" t="s">
        <v>185</v>
      </c>
      <c r="B638" t="s">
        <v>2567</v>
      </c>
      <c r="C638" s="2" t="s">
        <v>186</v>
      </c>
      <c r="D638" s="3" t="s">
        <v>1713</v>
      </c>
      <c r="E638" t="s">
        <v>158</v>
      </c>
      <c r="F638" s="2" t="str">
        <f t="shared" si="105"/>
        <v>26</v>
      </c>
      <c r="G638" s="2" t="str">
        <f t="shared" si="106"/>
        <v>26</v>
      </c>
      <c r="H638" s="2" t="str">
        <f t="shared" si="107"/>
        <v>26</v>
      </c>
      <c r="I638" s="163"/>
    </row>
    <row r="639" spans="1:12" x14ac:dyDescent="0.25">
      <c r="A639" t="s">
        <v>187</v>
      </c>
      <c r="B639" t="s">
        <v>2567</v>
      </c>
      <c r="C639" s="2" t="s">
        <v>188</v>
      </c>
      <c r="D639" s="3" t="s">
        <v>1714</v>
      </c>
      <c r="E639" t="s">
        <v>158</v>
      </c>
      <c r="F639" s="2" t="str">
        <f t="shared" si="105"/>
        <v>28</v>
      </c>
      <c r="G639" s="2" t="str">
        <f t="shared" si="106"/>
        <v>28</v>
      </c>
      <c r="H639" s="2" t="str">
        <f t="shared" si="107"/>
        <v>28</v>
      </c>
      <c r="I639" s="194"/>
    </row>
    <row r="640" spans="1:12" x14ac:dyDescent="0.25">
      <c r="A640" t="s">
        <v>1482</v>
      </c>
      <c r="B640" t="s">
        <v>2567</v>
      </c>
      <c r="C640" s="2" t="s">
        <v>2666</v>
      </c>
      <c r="D640" s="3" t="s">
        <v>1714</v>
      </c>
      <c r="E640" t="s">
        <v>158</v>
      </c>
      <c r="F640" s="5">
        <v>28</v>
      </c>
      <c r="G640" s="5">
        <v>28</v>
      </c>
      <c r="H640" s="5">
        <v>28</v>
      </c>
      <c r="I640" s="194"/>
      <c r="L640" s="7"/>
    </row>
    <row r="641" spans="1:12" x14ac:dyDescent="0.25">
      <c r="A641" t="s">
        <v>173</v>
      </c>
      <c r="B641" t="s">
        <v>2567</v>
      </c>
      <c r="C641" s="2">
        <v>30303</v>
      </c>
      <c r="D641" s="3" t="s">
        <v>1704</v>
      </c>
      <c r="E641" t="s">
        <v>158</v>
      </c>
      <c r="F641" s="2" t="str">
        <f t="shared" ref="F641:F649" si="108">LEFT(D641,FIND(",",D641)-1)</f>
        <v>3</v>
      </c>
      <c r="G641" s="2" t="str">
        <f t="shared" ref="G641:G649" si="109">MID(D641,FIND(",",D641)+1,FIND(",",D641,FIND(",",D641)+1)-FIND(",",D641)-1)</f>
        <v>3</v>
      </c>
      <c r="H641" s="2" t="str">
        <f t="shared" ref="H641:H649" si="110">RIGHT(D641,LEN(D641)-FIND(",",D641,FIND(",",D641)+1))</f>
        <v>3</v>
      </c>
      <c r="I641" s="133"/>
    </row>
    <row r="642" spans="1:12" x14ac:dyDescent="0.25">
      <c r="A642" t="s">
        <v>189</v>
      </c>
      <c r="B642" t="s">
        <v>2567</v>
      </c>
      <c r="C642" s="2" t="s">
        <v>190</v>
      </c>
      <c r="D642" s="3" t="s">
        <v>1715</v>
      </c>
      <c r="E642" t="s">
        <v>158</v>
      </c>
      <c r="F642" s="2" t="str">
        <f t="shared" si="108"/>
        <v>31</v>
      </c>
      <c r="G642" s="2" t="str">
        <f t="shared" si="109"/>
        <v>31</v>
      </c>
      <c r="H642" s="2" t="str">
        <f t="shared" si="110"/>
        <v>31</v>
      </c>
      <c r="I642" s="225"/>
    </row>
    <row r="643" spans="1:12" x14ac:dyDescent="0.25">
      <c r="A643" t="s">
        <v>191</v>
      </c>
      <c r="B643" t="s">
        <v>2567</v>
      </c>
      <c r="C643" s="2">
        <v>212121</v>
      </c>
      <c r="D643" s="3" t="s">
        <v>1716</v>
      </c>
      <c r="E643" t="s">
        <v>158</v>
      </c>
      <c r="F643" s="2" t="str">
        <f t="shared" si="108"/>
        <v>33</v>
      </c>
      <c r="G643" s="2" t="str">
        <f t="shared" si="109"/>
        <v>33</v>
      </c>
      <c r="H643" s="2" t="str">
        <f t="shared" si="110"/>
        <v>33</v>
      </c>
      <c r="I643" s="314"/>
    </row>
    <row r="644" spans="1:12" x14ac:dyDescent="0.25">
      <c r="A644" t="s">
        <v>3259</v>
      </c>
      <c r="B644" t="s">
        <v>2567</v>
      </c>
      <c r="C644" s="2">
        <v>222222</v>
      </c>
      <c r="D644" s="3" t="s">
        <v>1717</v>
      </c>
      <c r="E644" t="s">
        <v>158</v>
      </c>
      <c r="F644" s="2" t="str">
        <f t="shared" si="108"/>
        <v>34</v>
      </c>
      <c r="G644" s="2" t="str">
        <f t="shared" si="109"/>
        <v>34</v>
      </c>
      <c r="H644" s="2" t="str">
        <f t="shared" si="110"/>
        <v>34</v>
      </c>
      <c r="I644" s="384"/>
    </row>
    <row r="645" spans="1:12" x14ac:dyDescent="0.25">
      <c r="A645" t="s">
        <v>192</v>
      </c>
      <c r="B645" t="s">
        <v>2567</v>
      </c>
      <c r="C645" s="2">
        <v>242424</v>
      </c>
      <c r="D645" s="3" t="s">
        <v>1718</v>
      </c>
      <c r="E645" t="s">
        <v>158</v>
      </c>
      <c r="F645" s="2" t="str">
        <f t="shared" si="108"/>
        <v>36</v>
      </c>
      <c r="G645" s="2" t="str">
        <f t="shared" si="109"/>
        <v>36</v>
      </c>
      <c r="H645" s="2" t="str">
        <f t="shared" si="110"/>
        <v>36</v>
      </c>
      <c r="I645" s="39"/>
    </row>
    <row r="646" spans="1:12" x14ac:dyDescent="0.25">
      <c r="A646" t="s">
        <v>193</v>
      </c>
      <c r="B646" t="s">
        <v>2567</v>
      </c>
      <c r="C646" s="2">
        <v>262626</v>
      </c>
      <c r="D646" s="3" t="s">
        <v>1719</v>
      </c>
      <c r="E646" t="s">
        <v>158</v>
      </c>
      <c r="F646" s="2" t="str">
        <f t="shared" si="108"/>
        <v>38</v>
      </c>
      <c r="G646" s="2" t="str">
        <f t="shared" si="109"/>
        <v>38</v>
      </c>
      <c r="H646" s="2" t="str">
        <f t="shared" si="110"/>
        <v>38</v>
      </c>
      <c r="I646" s="463"/>
    </row>
    <row r="647" spans="1:12" x14ac:dyDescent="0.25">
      <c r="A647" t="s">
        <v>194</v>
      </c>
      <c r="B647" t="s">
        <v>2567</v>
      </c>
      <c r="C647" s="2">
        <v>292929</v>
      </c>
      <c r="D647" s="3" t="s">
        <v>1720</v>
      </c>
      <c r="E647" t="s">
        <v>158</v>
      </c>
      <c r="F647" s="2" t="str">
        <f t="shared" si="108"/>
        <v>41</v>
      </c>
      <c r="G647" s="2" t="str">
        <f t="shared" si="109"/>
        <v>41</v>
      </c>
      <c r="H647" s="2" t="str">
        <f t="shared" si="110"/>
        <v>41</v>
      </c>
      <c r="I647" s="135"/>
    </row>
    <row r="648" spans="1:12" x14ac:dyDescent="0.25">
      <c r="A648" t="s">
        <v>195</v>
      </c>
      <c r="B648" t="s">
        <v>2567</v>
      </c>
      <c r="C648" s="2" t="s">
        <v>196</v>
      </c>
      <c r="D648" s="3" t="s">
        <v>1721</v>
      </c>
      <c r="E648" t="s">
        <v>158</v>
      </c>
      <c r="F648" s="2" t="str">
        <f t="shared" si="108"/>
        <v>43</v>
      </c>
      <c r="G648" s="2" t="str">
        <f t="shared" si="109"/>
        <v>43</v>
      </c>
      <c r="H648" s="2" t="str">
        <f t="shared" si="110"/>
        <v>43</v>
      </c>
      <c r="I648" s="164"/>
    </row>
    <row r="649" spans="1:12" x14ac:dyDescent="0.25">
      <c r="A649" t="s">
        <v>197</v>
      </c>
      <c r="B649" t="s">
        <v>2567</v>
      </c>
      <c r="C649" s="2" t="s">
        <v>198</v>
      </c>
      <c r="D649" s="3" t="s">
        <v>1722</v>
      </c>
      <c r="E649" t="s">
        <v>158</v>
      </c>
      <c r="F649" s="2" t="str">
        <f t="shared" si="108"/>
        <v>46</v>
      </c>
      <c r="G649" s="2" t="str">
        <f t="shared" si="109"/>
        <v>46</v>
      </c>
      <c r="H649" s="2" t="str">
        <f t="shared" si="110"/>
        <v>46</v>
      </c>
      <c r="I649" s="195"/>
    </row>
    <row r="650" spans="1:12" x14ac:dyDescent="0.25">
      <c r="A650" t="s">
        <v>1457</v>
      </c>
      <c r="B650" t="s">
        <v>2567</v>
      </c>
      <c r="C650" s="2" t="s">
        <v>340</v>
      </c>
      <c r="D650" s="3" t="s">
        <v>2186</v>
      </c>
      <c r="E650" t="s">
        <v>158</v>
      </c>
      <c r="F650" s="5">
        <v>46</v>
      </c>
      <c r="G650" s="5">
        <v>79</v>
      </c>
      <c r="H650" s="5">
        <v>79</v>
      </c>
      <c r="I650" s="450"/>
      <c r="L650" s="7"/>
    </row>
    <row r="651" spans="1:12" x14ac:dyDescent="0.25">
      <c r="A651" t="s">
        <v>538</v>
      </c>
      <c r="B651" t="s">
        <v>2567</v>
      </c>
      <c r="C651" s="2" t="s">
        <v>340</v>
      </c>
      <c r="D651" s="3" t="s">
        <v>1700</v>
      </c>
      <c r="E651" t="s">
        <v>158</v>
      </c>
      <c r="F651" s="2" t="str">
        <f t="shared" ref="F651:F656" si="111">LEFT(D651,FIND(",",D651)-1)</f>
        <v>47</v>
      </c>
      <c r="G651" s="2" t="str">
        <f t="shared" ref="G651:G656" si="112">MID(D651,FIND(",",D651)+1,FIND(",",D651,FIND(",",D651)+1)-FIND(",",D651)-1)</f>
        <v xml:space="preserve"> 79</v>
      </c>
      <c r="H651" s="2" t="str">
        <f t="shared" ref="H651:H656" si="113">RIGHT(D651,LEN(D651)-FIND(",",D651,FIND(",",D651)+1))</f>
        <v xml:space="preserve"> 79</v>
      </c>
      <c r="I651" s="237"/>
    </row>
    <row r="652" spans="1:12" x14ac:dyDescent="0.25">
      <c r="A652" t="s">
        <v>339</v>
      </c>
      <c r="B652" t="s">
        <v>2567</v>
      </c>
      <c r="C652" s="2" t="s">
        <v>340</v>
      </c>
      <c r="D652" s="3" t="s">
        <v>1744</v>
      </c>
      <c r="E652" t="s">
        <v>158</v>
      </c>
      <c r="F652" s="2" t="str">
        <f t="shared" si="111"/>
        <v>47</v>
      </c>
      <c r="G652" s="2" t="str">
        <f t="shared" si="112"/>
        <v>79</v>
      </c>
      <c r="H652" s="2" t="str">
        <f t="shared" si="113"/>
        <v>79</v>
      </c>
      <c r="I652" s="237"/>
    </row>
    <row r="653" spans="1:12" x14ac:dyDescent="0.25">
      <c r="A653" t="s">
        <v>199</v>
      </c>
      <c r="B653" t="s">
        <v>2567</v>
      </c>
      <c r="C653" s="2">
        <v>303030</v>
      </c>
      <c r="D653" s="3" t="s">
        <v>1723</v>
      </c>
      <c r="E653" t="s">
        <v>158</v>
      </c>
      <c r="F653" s="2" t="str">
        <f t="shared" si="111"/>
        <v>48</v>
      </c>
      <c r="G653" s="2" t="str">
        <f t="shared" si="112"/>
        <v>48</v>
      </c>
      <c r="H653" s="2" t="str">
        <f t="shared" si="113"/>
        <v>48</v>
      </c>
      <c r="I653" s="226"/>
    </row>
    <row r="654" spans="1:12" x14ac:dyDescent="0.25">
      <c r="A654" t="s">
        <v>174</v>
      </c>
      <c r="B654" t="s">
        <v>2567</v>
      </c>
      <c r="C654" s="2">
        <v>50505</v>
      </c>
      <c r="D654" s="3" t="s">
        <v>1705</v>
      </c>
      <c r="E654" t="s">
        <v>158</v>
      </c>
      <c r="F654" s="2" t="str">
        <f t="shared" si="111"/>
        <v>5</v>
      </c>
      <c r="G654" s="2" t="str">
        <f t="shared" si="112"/>
        <v>5</v>
      </c>
      <c r="H654" s="2" t="str">
        <f t="shared" si="113"/>
        <v>5</v>
      </c>
      <c r="I654" s="162"/>
    </row>
    <row r="655" spans="1:12" x14ac:dyDescent="0.25">
      <c r="A655" t="s">
        <v>200</v>
      </c>
      <c r="B655" t="s">
        <v>2567</v>
      </c>
      <c r="C655" s="2">
        <v>333333</v>
      </c>
      <c r="D655" s="3" t="s">
        <v>1724</v>
      </c>
      <c r="E655" t="s">
        <v>158</v>
      </c>
      <c r="F655" s="2" t="str">
        <f t="shared" si="111"/>
        <v>51</v>
      </c>
      <c r="G655" s="2" t="str">
        <f t="shared" si="112"/>
        <v>51</v>
      </c>
      <c r="H655" s="2" t="str">
        <f t="shared" si="113"/>
        <v>51</v>
      </c>
      <c r="I655" s="532"/>
    </row>
    <row r="656" spans="1:12" x14ac:dyDescent="0.25">
      <c r="A656" t="s">
        <v>201</v>
      </c>
      <c r="B656" t="s">
        <v>2567</v>
      </c>
      <c r="C656" s="2">
        <v>363636</v>
      </c>
      <c r="D656" s="3" t="s">
        <v>1725</v>
      </c>
      <c r="E656" t="s">
        <v>158</v>
      </c>
      <c r="F656" s="2" t="str">
        <f t="shared" si="111"/>
        <v>54</v>
      </c>
      <c r="G656" s="2" t="str">
        <f t="shared" si="112"/>
        <v>54</v>
      </c>
      <c r="H656" s="2" t="str">
        <f t="shared" si="113"/>
        <v>54</v>
      </c>
      <c r="I656" s="579"/>
    </row>
    <row r="657" spans="1:12" x14ac:dyDescent="0.25">
      <c r="A657" t="s">
        <v>1397</v>
      </c>
      <c r="B657" t="s">
        <v>2567</v>
      </c>
      <c r="C657" s="2" t="s">
        <v>2667</v>
      </c>
      <c r="D657" s="3" t="s">
        <v>2122</v>
      </c>
      <c r="E657" t="s">
        <v>158</v>
      </c>
      <c r="F657" s="5">
        <v>54</v>
      </c>
      <c r="G657" s="5">
        <v>69</v>
      </c>
      <c r="H657" s="5">
        <v>79</v>
      </c>
      <c r="I657" s="686"/>
      <c r="L657" s="7"/>
    </row>
    <row r="658" spans="1:12" x14ac:dyDescent="0.25">
      <c r="A658" t="s">
        <v>202</v>
      </c>
      <c r="B658" t="s">
        <v>2567</v>
      </c>
      <c r="C658" s="2">
        <v>383838</v>
      </c>
      <c r="D658" s="3" t="s">
        <v>1726</v>
      </c>
      <c r="E658" t="s">
        <v>158</v>
      </c>
      <c r="F658" s="2" t="str">
        <f>LEFT(D658,FIND(",",D658)-1)</f>
        <v>56</v>
      </c>
      <c r="G658" s="2" t="str">
        <f>MID(D658,FIND(",",D658)+1,FIND(",",D658,FIND(",",D658)+1)-FIND(",",D658)-1)</f>
        <v>56</v>
      </c>
      <c r="H658" s="2" t="str">
        <f>RIGHT(D658,LEN(D658)-FIND(",",D658,FIND(",",D658)+1))</f>
        <v>56</v>
      </c>
      <c r="I658" s="40"/>
    </row>
    <row r="659" spans="1:12" x14ac:dyDescent="0.25">
      <c r="A659" t="s">
        <v>203</v>
      </c>
      <c r="B659" t="s">
        <v>2567</v>
      </c>
      <c r="C659" s="2" t="s">
        <v>204</v>
      </c>
      <c r="D659" s="3" t="s">
        <v>1727</v>
      </c>
      <c r="E659" t="s">
        <v>158</v>
      </c>
      <c r="F659" s="2" t="str">
        <f>LEFT(D659,FIND(",",D659)-1)</f>
        <v>59</v>
      </c>
      <c r="G659" s="2" t="str">
        <f>MID(D659,FIND(",",D659)+1,FIND(",",D659,FIND(",",D659)+1)-FIND(",",D659)-1)</f>
        <v>59</v>
      </c>
      <c r="H659" s="2" t="str">
        <f>RIGHT(D659,LEN(D659)-FIND(",",D659,FIND(",",D659)+1))</f>
        <v>59</v>
      </c>
      <c r="I659" s="638"/>
    </row>
    <row r="660" spans="1:12" x14ac:dyDescent="0.25">
      <c r="A660" t="s">
        <v>1337</v>
      </c>
      <c r="B660" t="s">
        <v>2567</v>
      </c>
      <c r="C660" s="2" t="s">
        <v>2668</v>
      </c>
      <c r="D660" s="3" t="s">
        <v>2052</v>
      </c>
      <c r="E660" t="s">
        <v>158</v>
      </c>
      <c r="F660" s="5">
        <v>59</v>
      </c>
      <c r="G660" s="5">
        <v>61</v>
      </c>
      <c r="H660" s="5">
        <v>54</v>
      </c>
      <c r="I660" s="737"/>
      <c r="L660" s="7"/>
    </row>
    <row r="661" spans="1:12" x14ac:dyDescent="0.25">
      <c r="A661" t="s">
        <v>205</v>
      </c>
      <c r="B661" t="s">
        <v>2567</v>
      </c>
      <c r="C661" s="2" t="s">
        <v>206</v>
      </c>
      <c r="D661" s="3" t="s">
        <v>1728</v>
      </c>
      <c r="E661" t="s">
        <v>158</v>
      </c>
      <c r="F661" s="2" t="str">
        <f t="shared" ref="F661:F666" si="114">LEFT(D661,FIND(",",D661)-1)</f>
        <v>61</v>
      </c>
      <c r="G661" s="2" t="str">
        <f t="shared" ref="G661:G666" si="115">MID(D661,FIND(",",D661)+1,FIND(",",D661,FIND(",",D661)+1)-FIND(",",D661)-1)</f>
        <v>61</v>
      </c>
      <c r="H661" s="2" t="str">
        <f t="shared" ref="H661:H666" si="116">RIGHT(D661,LEN(D661)-FIND(",",D661,FIND(",",D661)+1))</f>
        <v>61</v>
      </c>
      <c r="I661" s="136"/>
    </row>
    <row r="662" spans="1:12" x14ac:dyDescent="0.25">
      <c r="A662" t="s">
        <v>207</v>
      </c>
      <c r="B662" t="s">
        <v>2567</v>
      </c>
      <c r="C662" s="2">
        <v>404040</v>
      </c>
      <c r="D662" s="3" t="s">
        <v>1729</v>
      </c>
      <c r="E662" t="s">
        <v>158</v>
      </c>
      <c r="F662" s="2" t="str">
        <f t="shared" si="114"/>
        <v>64</v>
      </c>
      <c r="G662" s="2" t="str">
        <f t="shared" si="115"/>
        <v>64</v>
      </c>
      <c r="H662" s="2" t="str">
        <f t="shared" si="116"/>
        <v>64</v>
      </c>
      <c r="I662" s="165"/>
    </row>
    <row r="663" spans="1:12" x14ac:dyDescent="0.25">
      <c r="A663" t="s">
        <v>208</v>
      </c>
      <c r="B663" t="s">
        <v>2567</v>
      </c>
      <c r="C663" s="2">
        <v>424242</v>
      </c>
      <c r="D663" s="3" t="s">
        <v>1730</v>
      </c>
      <c r="E663" t="s">
        <v>158</v>
      </c>
      <c r="F663" s="2" t="str">
        <f t="shared" si="114"/>
        <v>66</v>
      </c>
      <c r="G663" s="2" t="str">
        <f t="shared" si="115"/>
        <v>66</v>
      </c>
      <c r="H663" s="2" t="str">
        <f t="shared" si="116"/>
        <v>66</v>
      </c>
      <c r="I663" s="196"/>
    </row>
    <row r="664" spans="1:12" x14ac:dyDescent="0.25">
      <c r="A664" t="s">
        <v>209</v>
      </c>
      <c r="B664" t="s">
        <v>2567</v>
      </c>
      <c r="C664" s="2">
        <v>454545</v>
      </c>
      <c r="D664" s="3" t="s">
        <v>1731</v>
      </c>
      <c r="E664" t="s">
        <v>158</v>
      </c>
      <c r="F664" s="2" t="str">
        <f t="shared" si="114"/>
        <v>69</v>
      </c>
      <c r="G664" s="2" t="str">
        <f t="shared" si="115"/>
        <v>69</v>
      </c>
      <c r="H664" s="2" t="str">
        <f t="shared" si="116"/>
        <v>69</v>
      </c>
      <c r="I664" s="227"/>
    </row>
    <row r="665" spans="1:12" x14ac:dyDescent="0.25">
      <c r="A665" t="s">
        <v>210</v>
      </c>
      <c r="B665" t="s">
        <v>2567</v>
      </c>
      <c r="C665" s="2">
        <v>474747</v>
      </c>
      <c r="D665" s="3" t="s">
        <v>1732</v>
      </c>
      <c r="E665" t="s">
        <v>158</v>
      </c>
      <c r="F665" s="2" t="str">
        <f t="shared" si="114"/>
        <v>71</v>
      </c>
      <c r="G665" s="2" t="str">
        <f t="shared" si="115"/>
        <v>71</v>
      </c>
      <c r="H665" s="2" t="str">
        <f t="shared" si="116"/>
        <v>71</v>
      </c>
      <c r="I665" s="695"/>
    </row>
    <row r="666" spans="1:12" x14ac:dyDescent="0.25">
      <c r="A666" t="s">
        <v>211</v>
      </c>
      <c r="B666" t="s">
        <v>2567</v>
      </c>
      <c r="C666" s="2" t="s">
        <v>212</v>
      </c>
      <c r="D666" s="3" t="s">
        <v>1733</v>
      </c>
      <c r="E666" t="s">
        <v>158</v>
      </c>
      <c r="F666" s="2" t="str">
        <f t="shared" si="114"/>
        <v>74</v>
      </c>
      <c r="G666" s="2" t="str">
        <f t="shared" si="115"/>
        <v>74</v>
      </c>
      <c r="H666" s="2" t="str">
        <f t="shared" si="116"/>
        <v>74</v>
      </c>
      <c r="I666" s="767"/>
    </row>
    <row r="667" spans="1:12" x14ac:dyDescent="0.25">
      <c r="A667" t="s">
        <v>1469</v>
      </c>
      <c r="B667" t="s">
        <v>2567</v>
      </c>
      <c r="C667" s="2" t="s">
        <v>2669</v>
      </c>
      <c r="D667" s="3" t="s">
        <v>2196</v>
      </c>
      <c r="E667" t="s">
        <v>158</v>
      </c>
      <c r="F667" s="5">
        <v>74</v>
      </c>
      <c r="G667" s="5">
        <v>99</v>
      </c>
      <c r="H667" s="5">
        <v>107</v>
      </c>
      <c r="I667" s="833"/>
      <c r="L667" s="7"/>
    </row>
    <row r="668" spans="1:12" x14ac:dyDescent="0.25">
      <c r="A668" t="s">
        <v>213</v>
      </c>
      <c r="B668" t="s">
        <v>2567</v>
      </c>
      <c r="C668" s="2" t="s">
        <v>214</v>
      </c>
      <c r="D668" s="3" t="s">
        <v>1734</v>
      </c>
      <c r="E668" t="s">
        <v>158</v>
      </c>
      <c r="F668" s="2" t="str">
        <f t="shared" ref="F668:F674" si="117">LEFT(D668,FIND(",",D668)-1)</f>
        <v>77</v>
      </c>
      <c r="G668" s="2" t="str">
        <f t="shared" ref="G668:G674" si="118">MID(D668,FIND(",",D668)+1,FIND(",",D668,FIND(",",D668)+1)-FIND(",",D668)-1)</f>
        <v>77</v>
      </c>
      <c r="H668" s="2" t="str">
        <f t="shared" ref="H668:H674" si="119">RIGHT(D668,LEN(D668)-FIND(",",D668,FIND(",",D668)+1))</f>
        <v>77</v>
      </c>
      <c r="I668" s="41"/>
    </row>
    <row r="669" spans="1:12" x14ac:dyDescent="0.25">
      <c r="A669" t="s">
        <v>215</v>
      </c>
      <c r="B669" t="s">
        <v>2567</v>
      </c>
      <c r="C669" s="2" t="s">
        <v>216</v>
      </c>
      <c r="D669" s="3" t="s">
        <v>1735</v>
      </c>
      <c r="E669" t="s">
        <v>158</v>
      </c>
      <c r="F669" s="2" t="str">
        <f t="shared" si="117"/>
        <v>79</v>
      </c>
      <c r="G669" s="2" t="str">
        <f t="shared" si="118"/>
        <v>79</v>
      </c>
      <c r="H669" s="2" t="str">
        <f t="shared" si="119"/>
        <v>79</v>
      </c>
      <c r="I669" s="315"/>
    </row>
    <row r="670" spans="1:12" x14ac:dyDescent="0.25">
      <c r="A670" t="s">
        <v>175</v>
      </c>
      <c r="B670" t="s">
        <v>2567</v>
      </c>
      <c r="C670" s="2">
        <v>80808</v>
      </c>
      <c r="D670" s="3" t="s">
        <v>1706</v>
      </c>
      <c r="E670" t="s">
        <v>158</v>
      </c>
      <c r="F670" s="2" t="str">
        <f t="shared" si="117"/>
        <v>8</v>
      </c>
      <c r="G670" s="2" t="str">
        <f t="shared" si="118"/>
        <v>8</v>
      </c>
      <c r="H670" s="2" t="str">
        <f t="shared" si="119"/>
        <v>8</v>
      </c>
      <c r="I670" s="193"/>
    </row>
    <row r="671" spans="1:12" x14ac:dyDescent="0.25">
      <c r="A671" t="s">
        <v>217</v>
      </c>
      <c r="B671" t="s">
        <v>2567</v>
      </c>
      <c r="C671" s="2">
        <v>525252</v>
      </c>
      <c r="D671" s="3" t="s">
        <v>1736</v>
      </c>
      <c r="E671" t="s">
        <v>158</v>
      </c>
      <c r="F671" s="2" t="str">
        <f t="shared" si="117"/>
        <v>82</v>
      </c>
      <c r="G671" s="2" t="str">
        <f t="shared" si="118"/>
        <v>82</v>
      </c>
      <c r="H671" s="2" t="str">
        <f t="shared" si="119"/>
        <v>82</v>
      </c>
      <c r="I671" s="137"/>
    </row>
    <row r="672" spans="1:12" x14ac:dyDescent="0.25">
      <c r="A672" t="s">
        <v>155</v>
      </c>
      <c r="B672" t="s">
        <v>2567</v>
      </c>
      <c r="C672" s="2">
        <v>545454</v>
      </c>
      <c r="D672" s="3" t="s">
        <v>1702</v>
      </c>
      <c r="E672" t="s">
        <v>158</v>
      </c>
      <c r="F672" s="2" t="str">
        <f t="shared" si="117"/>
        <v>84</v>
      </c>
      <c r="G672" s="2" t="str">
        <f t="shared" si="118"/>
        <v>84</v>
      </c>
      <c r="H672" s="2" t="str">
        <f t="shared" si="119"/>
        <v>84</v>
      </c>
      <c r="I672" s="166"/>
    </row>
    <row r="673" spans="1:12" x14ac:dyDescent="0.25">
      <c r="A673" t="s">
        <v>218</v>
      </c>
      <c r="B673" t="s">
        <v>2567</v>
      </c>
      <c r="C673" s="2">
        <v>545454</v>
      </c>
      <c r="D673" s="3" t="s">
        <v>1702</v>
      </c>
      <c r="E673" t="s">
        <v>158</v>
      </c>
      <c r="F673" s="2" t="str">
        <f t="shared" si="117"/>
        <v>84</v>
      </c>
      <c r="G673" s="2" t="str">
        <f t="shared" si="118"/>
        <v>84</v>
      </c>
      <c r="H673" s="2" t="str">
        <f t="shared" si="119"/>
        <v>84</v>
      </c>
      <c r="I673" s="166"/>
    </row>
    <row r="674" spans="1:12" x14ac:dyDescent="0.25">
      <c r="A674" t="s">
        <v>341</v>
      </c>
      <c r="B674" t="s">
        <v>2567</v>
      </c>
      <c r="C674" s="2">
        <v>545454</v>
      </c>
      <c r="D674" s="3" t="s">
        <v>1702</v>
      </c>
      <c r="E674" t="s">
        <v>158</v>
      </c>
      <c r="F674" s="2" t="str">
        <f t="shared" si="117"/>
        <v>84</v>
      </c>
      <c r="G674" s="2" t="str">
        <f t="shared" si="118"/>
        <v>84</v>
      </c>
      <c r="H674" s="2" t="str">
        <f t="shared" si="119"/>
        <v>84</v>
      </c>
      <c r="I674" s="166"/>
    </row>
    <row r="675" spans="1:12" x14ac:dyDescent="0.25">
      <c r="A675" t="s">
        <v>1461</v>
      </c>
      <c r="B675" t="s">
        <v>2567</v>
      </c>
      <c r="C675" s="2">
        <v>555555</v>
      </c>
      <c r="D675" s="3" t="s">
        <v>1702</v>
      </c>
      <c r="E675" t="s">
        <v>158</v>
      </c>
      <c r="F675" s="5">
        <v>84</v>
      </c>
      <c r="G675" s="5">
        <v>84</v>
      </c>
      <c r="H675" s="5">
        <v>84</v>
      </c>
      <c r="I675" s="166"/>
      <c r="L675" s="7"/>
    </row>
    <row r="676" spans="1:12" x14ac:dyDescent="0.25">
      <c r="A676" t="s">
        <v>1480</v>
      </c>
      <c r="B676" t="s">
        <v>2567</v>
      </c>
      <c r="C676" s="2" t="s">
        <v>2670</v>
      </c>
      <c r="D676" s="3" t="s">
        <v>2204</v>
      </c>
      <c r="E676" t="s">
        <v>158</v>
      </c>
      <c r="F676" s="5">
        <v>84</v>
      </c>
      <c r="G676" s="5">
        <v>92</v>
      </c>
      <c r="H676" s="5">
        <v>79</v>
      </c>
      <c r="I676" s="373"/>
      <c r="L676" s="7"/>
    </row>
    <row r="677" spans="1:12" x14ac:dyDescent="0.25">
      <c r="A677" t="s">
        <v>1336</v>
      </c>
      <c r="B677" t="s">
        <v>2567</v>
      </c>
      <c r="C677" s="2" t="s">
        <v>2671</v>
      </c>
      <c r="D677" s="3" t="s">
        <v>2051</v>
      </c>
      <c r="E677" t="s">
        <v>158</v>
      </c>
      <c r="F677" s="5">
        <v>84</v>
      </c>
      <c r="G677" s="5">
        <v>97</v>
      </c>
      <c r="H677" s="5">
        <v>112</v>
      </c>
      <c r="I677" s="678"/>
      <c r="L677" s="7"/>
    </row>
    <row r="678" spans="1:12" x14ac:dyDescent="0.25">
      <c r="A678" t="s">
        <v>218</v>
      </c>
      <c r="B678" t="s">
        <v>2567</v>
      </c>
      <c r="C678" s="2">
        <v>555555</v>
      </c>
      <c r="D678" s="3" t="s">
        <v>1737</v>
      </c>
      <c r="E678" t="s">
        <v>158</v>
      </c>
      <c r="F678" s="2" t="str">
        <f t="shared" ref="F678:F684" si="120">LEFT(D678,FIND(",",D678)-1)</f>
        <v>85</v>
      </c>
      <c r="G678" s="2" t="str">
        <f t="shared" ref="G678:G684" si="121">MID(D678,FIND(",",D678)+1,FIND(",",D678,FIND(",",D678)+1)-FIND(",",D678)-1)</f>
        <v>85</v>
      </c>
      <c r="H678" s="2" t="str">
        <f t="shared" ref="H678:H684" si="122">RIGHT(D678,LEN(D678)-FIND(",",D678,FIND(",",D678)+1))</f>
        <v>85</v>
      </c>
      <c r="I678" s="197"/>
    </row>
    <row r="679" spans="1:12" x14ac:dyDescent="0.25">
      <c r="A679" t="s">
        <v>219</v>
      </c>
      <c r="B679" t="s">
        <v>2567</v>
      </c>
      <c r="C679" s="2">
        <v>575757</v>
      </c>
      <c r="D679" s="3" t="s">
        <v>1738</v>
      </c>
      <c r="E679" t="s">
        <v>158</v>
      </c>
      <c r="F679" s="2" t="str">
        <f t="shared" si="120"/>
        <v>87</v>
      </c>
      <c r="G679" s="2" t="str">
        <f t="shared" si="121"/>
        <v>87</v>
      </c>
      <c r="H679" s="2" t="str">
        <f t="shared" si="122"/>
        <v>87</v>
      </c>
      <c r="I679" s="228"/>
    </row>
    <row r="680" spans="1:12" x14ac:dyDescent="0.25">
      <c r="A680" t="s">
        <v>220</v>
      </c>
      <c r="B680" t="s">
        <v>2567</v>
      </c>
      <c r="C680" s="2">
        <v>595959</v>
      </c>
      <c r="D680" s="3" t="s">
        <v>1739</v>
      </c>
      <c r="E680" t="s">
        <v>158</v>
      </c>
      <c r="F680" s="2" t="str">
        <f t="shared" si="120"/>
        <v>89</v>
      </c>
      <c r="G680" s="2" t="str">
        <f t="shared" si="121"/>
        <v>89</v>
      </c>
      <c r="H680" s="2" t="str">
        <f t="shared" si="122"/>
        <v>89</v>
      </c>
      <c r="I680" s="385"/>
    </row>
    <row r="681" spans="1:12" x14ac:dyDescent="0.25">
      <c r="A681" t="s">
        <v>221</v>
      </c>
      <c r="B681" t="s">
        <v>2567</v>
      </c>
      <c r="C681" s="2" t="s">
        <v>222</v>
      </c>
      <c r="D681" s="3" t="s">
        <v>1740</v>
      </c>
      <c r="E681" t="s">
        <v>158</v>
      </c>
      <c r="F681" s="2" t="str">
        <f t="shared" si="120"/>
        <v>92</v>
      </c>
      <c r="G681" s="2" t="str">
        <f t="shared" si="121"/>
        <v>92</v>
      </c>
      <c r="H681" s="2" t="str">
        <f t="shared" si="122"/>
        <v>92</v>
      </c>
      <c r="I681" s="464"/>
    </row>
    <row r="682" spans="1:12" x14ac:dyDescent="0.25">
      <c r="A682" t="s">
        <v>223</v>
      </c>
      <c r="B682" t="s">
        <v>2567</v>
      </c>
      <c r="C682" s="2" t="s">
        <v>224</v>
      </c>
      <c r="D682" s="3" t="s">
        <v>1741</v>
      </c>
      <c r="E682" t="s">
        <v>158</v>
      </c>
      <c r="F682" s="2" t="str">
        <f t="shared" si="120"/>
        <v>94</v>
      </c>
      <c r="G682" s="2" t="str">
        <f t="shared" si="121"/>
        <v>94</v>
      </c>
      <c r="H682" s="2" t="str">
        <f t="shared" si="122"/>
        <v>94</v>
      </c>
      <c r="I682" s="42"/>
    </row>
    <row r="683" spans="1:12" x14ac:dyDescent="0.25">
      <c r="A683" t="s">
        <v>225</v>
      </c>
      <c r="B683" t="s">
        <v>2567</v>
      </c>
      <c r="C683" s="2">
        <v>616161</v>
      </c>
      <c r="D683" s="3" t="s">
        <v>1742</v>
      </c>
      <c r="E683" t="s">
        <v>158</v>
      </c>
      <c r="F683" s="2" t="str">
        <f t="shared" si="120"/>
        <v>97</v>
      </c>
      <c r="G683" s="2" t="str">
        <f t="shared" si="121"/>
        <v>97</v>
      </c>
      <c r="H683" s="2" t="str">
        <f t="shared" si="122"/>
        <v>97</v>
      </c>
      <c r="I683" s="533"/>
    </row>
    <row r="684" spans="1:12" x14ac:dyDescent="0.25">
      <c r="A684" t="s">
        <v>226</v>
      </c>
      <c r="B684" t="s">
        <v>2567</v>
      </c>
      <c r="C684" s="2">
        <v>636363</v>
      </c>
      <c r="D684" s="3" t="s">
        <v>1743</v>
      </c>
      <c r="E684" t="s">
        <v>158</v>
      </c>
      <c r="F684" s="2" t="str">
        <f t="shared" si="120"/>
        <v>99</v>
      </c>
      <c r="G684" s="2" t="str">
        <f t="shared" si="121"/>
        <v>99</v>
      </c>
      <c r="H684" s="2" t="str">
        <f t="shared" si="122"/>
        <v>99</v>
      </c>
      <c r="I684" s="138"/>
    </row>
    <row r="685" spans="1:12" x14ac:dyDescent="0.25">
      <c r="A685" t="s">
        <v>2761</v>
      </c>
      <c r="B685" t="s">
        <v>2567</v>
      </c>
      <c r="E685" t="s">
        <v>158</v>
      </c>
    </row>
    <row r="686" spans="1:12" x14ac:dyDescent="0.25">
      <c r="A686" t="s">
        <v>1306</v>
      </c>
      <c r="B686" t="s">
        <v>2567</v>
      </c>
      <c r="C686" s="2" t="s">
        <v>2672</v>
      </c>
      <c r="D686" s="3" t="s">
        <v>2019</v>
      </c>
      <c r="E686" t="s">
        <v>2569</v>
      </c>
      <c r="F686" s="5">
        <v>102</v>
      </c>
      <c r="G686" s="5">
        <v>92</v>
      </c>
      <c r="H686" s="5">
        <v>31</v>
      </c>
      <c r="I686" s="800"/>
      <c r="L686" s="7"/>
    </row>
    <row r="687" spans="1:12" x14ac:dyDescent="0.25">
      <c r="A687" t="s">
        <v>1270</v>
      </c>
      <c r="B687" t="s">
        <v>2567</v>
      </c>
      <c r="C687" s="2">
        <v>856363</v>
      </c>
      <c r="D687" s="3" t="s">
        <v>1806</v>
      </c>
      <c r="E687" t="s">
        <v>2569</v>
      </c>
      <c r="F687" s="2" t="str">
        <f>LEFT(D687,FIND(",",D687)-1)</f>
        <v>133</v>
      </c>
      <c r="G687" s="2" t="str">
        <f>MID(D687,FIND(",",D687)+1,FIND(",",D687,FIND(",",D687)+1)-FIND(",",D687)-1)</f>
        <v>99</v>
      </c>
      <c r="H687" s="2" t="str">
        <f>RIGHT(D687,LEN(D687)-FIND(",",D687,FIND(",",D687)+1))</f>
        <v>99</v>
      </c>
      <c r="I687" s="731"/>
    </row>
    <row r="688" spans="1:12" x14ac:dyDescent="0.25">
      <c r="A688" t="s">
        <v>1273</v>
      </c>
      <c r="B688" t="s">
        <v>2567</v>
      </c>
      <c r="C688" s="2" t="s">
        <v>1274</v>
      </c>
      <c r="D688" s="3" t="s">
        <v>1970</v>
      </c>
      <c r="E688" t="s">
        <v>2569</v>
      </c>
      <c r="F688" s="2" t="str">
        <f>LEFT(D688,FIND(",",D688)-1)</f>
        <v>140</v>
      </c>
      <c r="G688" s="2" t="str">
        <f>MID(D688,FIND(",",D688)+1,FIND(",",D688,FIND(",",D688)+1)-FIND(",",D688)-1)</f>
        <v>120</v>
      </c>
      <c r="H688" s="2" t="str">
        <f>RIGHT(D688,LEN(D688)-FIND(",",D688,FIND(",",D688)+1))</f>
        <v>83</v>
      </c>
      <c r="I688" s="349"/>
    </row>
    <row r="689" spans="1:12" x14ac:dyDescent="0.25">
      <c r="A689" t="s">
        <v>1275</v>
      </c>
      <c r="B689" t="s">
        <v>2567</v>
      </c>
      <c r="C689" s="2" t="s">
        <v>1276</v>
      </c>
      <c r="D689" s="3" t="s">
        <v>1971</v>
      </c>
      <c r="E689" t="s">
        <v>2569</v>
      </c>
      <c r="F689" s="2" t="str">
        <f>LEFT(D689,FIND(",",D689)-1)</f>
        <v>166</v>
      </c>
      <c r="G689" s="2" t="str">
        <f>MID(D689,FIND(",",D689)+1,FIND(",",D689,FIND(",",D689)+1)-FIND(",",D689)-1)</f>
        <v>125</v>
      </c>
      <c r="H689" s="2" t="str">
        <f>RIGHT(D689,LEN(D689)-FIND(",",D689,FIND(",",D689)+1))</f>
        <v>61</v>
      </c>
      <c r="I689" s="286"/>
    </row>
    <row r="690" spans="1:12" x14ac:dyDescent="0.25">
      <c r="A690" t="s">
        <v>1271</v>
      </c>
      <c r="B690" t="s">
        <v>2567</v>
      </c>
      <c r="C690" s="2" t="s">
        <v>1272</v>
      </c>
      <c r="D690" s="3" t="s">
        <v>1969</v>
      </c>
      <c r="E690" t="s">
        <v>2569</v>
      </c>
      <c r="F690" s="2" t="str">
        <f>LEFT(D690,FIND(",",D690)-1)</f>
        <v>181</v>
      </c>
      <c r="G690" s="2" t="str">
        <f>MID(D690,FIND(",",D690)+1,FIND(",",D690,FIND(",",D690)+1)-FIND(",",D690)-1)</f>
        <v>166</v>
      </c>
      <c r="H690" s="2" t="str">
        <f>RIGHT(D690,LEN(D690)-FIND(",",D690,FIND(",",D690)+1))</f>
        <v>66</v>
      </c>
      <c r="I690" s="798"/>
    </row>
    <row r="691" spans="1:12" x14ac:dyDescent="0.25">
      <c r="A691" t="s">
        <v>1266</v>
      </c>
      <c r="B691" t="s">
        <v>2567</v>
      </c>
      <c r="C691" s="2" t="s">
        <v>1267</v>
      </c>
      <c r="D691" s="3" t="s">
        <v>1967</v>
      </c>
      <c r="E691" t="s">
        <v>2569</v>
      </c>
      <c r="F691" s="2" t="str">
        <f>LEFT(D691,FIND(",",D691)-1)</f>
        <v>184</v>
      </c>
      <c r="G691" s="2" t="str">
        <f>MID(D691,FIND(",",D691)+1,FIND(",",D691,FIND(",",D691)+1)-FIND(",",D691)-1)</f>
        <v>115</v>
      </c>
      <c r="H691" s="2" t="str">
        <f>RIGHT(D691,LEN(D691)-FIND(",",D691,FIND(",",D691)+1))</f>
        <v>51</v>
      </c>
      <c r="I691" s="107"/>
    </row>
    <row r="692" spans="1:12" x14ac:dyDescent="0.25">
      <c r="A692" t="s">
        <v>1416</v>
      </c>
      <c r="B692" t="s">
        <v>2567</v>
      </c>
      <c r="C692" s="2" t="s">
        <v>1267</v>
      </c>
      <c r="D692" s="3" t="s">
        <v>1967</v>
      </c>
      <c r="E692" t="s">
        <v>2569</v>
      </c>
      <c r="F692" s="5">
        <v>184</v>
      </c>
      <c r="G692" s="5">
        <v>115</v>
      </c>
      <c r="H692" s="5">
        <v>51</v>
      </c>
      <c r="I692" s="107"/>
      <c r="L692" s="7"/>
    </row>
    <row r="693" spans="1:12" x14ac:dyDescent="0.25">
      <c r="A693" t="s">
        <v>8</v>
      </c>
      <c r="B693" t="s">
        <v>2567</v>
      </c>
      <c r="C693" s="2" t="s">
        <v>157</v>
      </c>
      <c r="D693" s="3" t="s">
        <v>2251</v>
      </c>
      <c r="E693" t="s">
        <v>2569</v>
      </c>
      <c r="F693" s="2" t="str">
        <f>LEFT(D693,FIND(",",D693)-1)</f>
        <v>192</v>
      </c>
      <c r="G693" s="2" t="str">
        <f>MID(D693,FIND(",",D693)+1,FIND(",",D693,FIND(",",D693)+1)-FIND(",",D693)-1)</f>
        <v>192</v>
      </c>
      <c r="H693" s="2" t="str">
        <f>RIGHT(D693,LEN(D693)-FIND(",",D693,FIND(",",D693)+1))</f>
        <v>192</v>
      </c>
      <c r="I693" s="17"/>
    </row>
    <row r="694" spans="1:12" x14ac:dyDescent="0.25">
      <c r="A694" t="s">
        <v>1285</v>
      </c>
      <c r="B694" t="s">
        <v>2567</v>
      </c>
      <c r="C694" s="2" t="s">
        <v>157</v>
      </c>
      <c r="D694" s="3" t="s">
        <v>2251</v>
      </c>
      <c r="E694" t="s">
        <v>2569</v>
      </c>
      <c r="F694" s="2" t="str">
        <f>LEFT(D694,FIND(",",D694)-1)</f>
        <v>192</v>
      </c>
      <c r="G694" s="2" t="str">
        <f>MID(D694,FIND(",",D694)+1,FIND(",",D694,FIND(",",D694)+1)-FIND(",",D694)-1)</f>
        <v>192</v>
      </c>
      <c r="H694" s="2" t="str">
        <f>RIGHT(D694,LEN(D694)-FIND(",",D694,FIND(",",D694)+1))</f>
        <v>192</v>
      </c>
      <c r="I694" s="17"/>
    </row>
    <row r="695" spans="1:12" x14ac:dyDescent="0.25">
      <c r="A695" t="s">
        <v>1355</v>
      </c>
      <c r="B695" t="s">
        <v>2567</v>
      </c>
      <c r="C695" s="2" t="s">
        <v>1283</v>
      </c>
      <c r="D695" s="3" t="s">
        <v>2079</v>
      </c>
      <c r="E695" t="s">
        <v>2569</v>
      </c>
      <c r="F695" s="5">
        <v>204</v>
      </c>
      <c r="G695" s="5">
        <v>128</v>
      </c>
      <c r="H695" s="5">
        <v>51</v>
      </c>
      <c r="I695" s="740"/>
      <c r="L695" s="7"/>
    </row>
    <row r="696" spans="1:12" x14ac:dyDescent="0.25">
      <c r="A696" t="s">
        <v>1305</v>
      </c>
      <c r="B696" t="s">
        <v>2567</v>
      </c>
      <c r="C696" s="2" t="s">
        <v>2673</v>
      </c>
      <c r="D696" s="3" t="s">
        <v>2018</v>
      </c>
      <c r="E696" t="s">
        <v>2569</v>
      </c>
      <c r="F696" s="5">
        <v>204</v>
      </c>
      <c r="G696" s="5">
        <v>148</v>
      </c>
      <c r="H696" s="5">
        <v>117</v>
      </c>
      <c r="I696" s="733"/>
      <c r="L696" s="7"/>
    </row>
    <row r="697" spans="1:12" x14ac:dyDescent="0.25">
      <c r="A697" t="s">
        <v>1281</v>
      </c>
      <c r="B697" t="s">
        <v>2567</v>
      </c>
      <c r="C697" s="2" t="s">
        <v>1282</v>
      </c>
      <c r="D697" s="3" t="s">
        <v>1974</v>
      </c>
      <c r="E697" t="s">
        <v>2569</v>
      </c>
      <c r="F697" s="2" t="str">
        <f t="shared" ref="F697:F704" si="123">LEFT(D697,FIND(",",D697)-1)</f>
        <v>204</v>
      </c>
      <c r="G697" s="2" t="str">
        <f t="shared" ref="G697:G704" si="124">MID(D697,FIND(",",D697)+1,FIND(",",D697,FIND(",",D697)+1)-FIND(",",D697)-1)</f>
        <v>153</v>
      </c>
      <c r="H697" s="2" t="str">
        <f t="shared" ref="H697:H704" si="125">RIGHT(D697,LEN(D697)-FIND(",",D697,FIND(",",D697)+1))</f>
        <v>0</v>
      </c>
      <c r="I697" s="566"/>
    </row>
    <row r="698" spans="1:12" x14ac:dyDescent="0.25">
      <c r="A698" t="s">
        <v>32</v>
      </c>
      <c r="B698" t="s">
        <v>2567</v>
      </c>
      <c r="C698" s="2" t="s">
        <v>1283</v>
      </c>
      <c r="D698" s="3" t="s">
        <v>1975</v>
      </c>
      <c r="E698" t="s">
        <v>2569</v>
      </c>
      <c r="F698" s="2" t="str">
        <f t="shared" si="123"/>
        <v>205</v>
      </c>
      <c r="G698" s="2" t="str">
        <f t="shared" si="124"/>
        <v>127</v>
      </c>
      <c r="H698" s="2" t="str">
        <f t="shared" si="125"/>
        <v>50</v>
      </c>
      <c r="I698" s="611"/>
    </row>
    <row r="699" spans="1:12" x14ac:dyDescent="0.25">
      <c r="A699" t="s">
        <v>1279</v>
      </c>
      <c r="B699" t="s">
        <v>2567</v>
      </c>
      <c r="C699" s="2" t="s">
        <v>1280</v>
      </c>
      <c r="D699" s="3" t="s">
        <v>1973</v>
      </c>
      <c r="E699" t="s">
        <v>2569</v>
      </c>
      <c r="F699" s="2" t="str">
        <f t="shared" si="123"/>
        <v>207</v>
      </c>
      <c r="G699" s="2" t="str">
        <f t="shared" si="124"/>
        <v>181</v>
      </c>
      <c r="H699" s="2" t="str">
        <f t="shared" si="125"/>
        <v>59</v>
      </c>
      <c r="I699" s="502"/>
    </row>
    <row r="700" spans="1:12" x14ac:dyDescent="0.25">
      <c r="A700" t="s">
        <v>1268</v>
      </c>
      <c r="B700" t="s">
        <v>2567</v>
      </c>
      <c r="C700" s="2" t="s">
        <v>1269</v>
      </c>
      <c r="D700" s="3" t="s">
        <v>1968</v>
      </c>
      <c r="E700" t="s">
        <v>2569</v>
      </c>
      <c r="F700" s="2" t="str">
        <f t="shared" si="123"/>
        <v>217</v>
      </c>
      <c r="G700" s="2" t="str">
        <f t="shared" si="124"/>
        <v>135</v>
      </c>
      <c r="H700" s="2" t="str">
        <f t="shared" si="125"/>
        <v>25</v>
      </c>
      <c r="I700" s="672"/>
    </row>
    <row r="701" spans="1:12" x14ac:dyDescent="0.25">
      <c r="A701" t="s">
        <v>1277</v>
      </c>
      <c r="B701" t="s">
        <v>2567</v>
      </c>
      <c r="C701" s="2" t="s">
        <v>1278</v>
      </c>
      <c r="D701" s="3" t="s">
        <v>1972</v>
      </c>
      <c r="E701" t="s">
        <v>2569</v>
      </c>
      <c r="F701" s="2" t="str">
        <f t="shared" si="123"/>
        <v>217</v>
      </c>
      <c r="G701" s="2" t="str">
        <f t="shared" si="124"/>
        <v>217</v>
      </c>
      <c r="H701" s="2" t="str">
        <f t="shared" si="125"/>
        <v>25</v>
      </c>
      <c r="I701" s="429"/>
    </row>
    <row r="702" spans="1:12" x14ac:dyDescent="0.25">
      <c r="A702" t="s">
        <v>150</v>
      </c>
      <c r="B702" t="s">
        <v>2567</v>
      </c>
      <c r="C702" s="2" t="s">
        <v>1284</v>
      </c>
      <c r="D702" s="3" t="s">
        <v>2250</v>
      </c>
      <c r="E702" t="s">
        <v>2569</v>
      </c>
      <c r="F702" s="2" t="str">
        <f t="shared" si="123"/>
        <v>230</v>
      </c>
      <c r="G702" s="2" t="str">
        <f t="shared" si="124"/>
        <v>232</v>
      </c>
      <c r="H702" s="2" t="str">
        <f t="shared" si="125"/>
        <v>250</v>
      </c>
      <c r="I702" s="673"/>
    </row>
    <row r="703" spans="1:12" x14ac:dyDescent="0.25">
      <c r="A703" t="s">
        <v>1287</v>
      </c>
      <c r="B703" t="s">
        <v>2567</v>
      </c>
      <c r="C703" s="2" t="s">
        <v>1288</v>
      </c>
      <c r="D703" s="3" t="s">
        <v>2249</v>
      </c>
      <c r="E703" t="s">
        <v>2569</v>
      </c>
      <c r="F703" s="2" t="str">
        <f t="shared" si="123"/>
        <v>35</v>
      </c>
      <c r="G703" s="2" t="str">
        <f t="shared" si="124"/>
        <v>107</v>
      </c>
      <c r="H703" s="2" t="str">
        <f t="shared" si="125"/>
        <v>142</v>
      </c>
      <c r="I703" s="287"/>
    </row>
    <row r="704" spans="1:12" x14ac:dyDescent="0.25">
      <c r="A704" t="s">
        <v>1286</v>
      </c>
      <c r="B704" t="s">
        <v>2567</v>
      </c>
      <c r="C704" s="2">
        <v>545454</v>
      </c>
      <c r="D704" s="3" t="s">
        <v>1702</v>
      </c>
      <c r="E704" t="s">
        <v>2569</v>
      </c>
      <c r="F704" s="2" t="str">
        <f t="shared" si="123"/>
        <v>84</v>
      </c>
      <c r="G704" s="2" t="str">
        <f t="shared" si="124"/>
        <v>84</v>
      </c>
      <c r="H704" s="2" t="str">
        <f t="shared" si="125"/>
        <v>84</v>
      </c>
      <c r="I704" s="166"/>
    </row>
    <row r="705" spans="1:12" x14ac:dyDescent="0.25">
      <c r="A705" t="s">
        <v>1265</v>
      </c>
      <c r="B705" t="s">
        <v>2567</v>
      </c>
      <c r="E705" t="s">
        <v>2569</v>
      </c>
      <c r="I705" s="18"/>
    </row>
    <row r="706" spans="1:12" x14ac:dyDescent="0.25">
      <c r="A706" t="s">
        <v>1528</v>
      </c>
      <c r="B706" t="s">
        <v>2567</v>
      </c>
      <c r="D706" s="3" t="s">
        <v>1571</v>
      </c>
      <c r="E706" t="s">
        <v>31</v>
      </c>
    </row>
    <row r="707" spans="1:12" x14ac:dyDescent="0.25">
      <c r="A707" t="s">
        <v>827</v>
      </c>
      <c r="B707" t="s">
        <v>2567</v>
      </c>
      <c r="C707" s="2" t="s">
        <v>828</v>
      </c>
      <c r="D707" s="3" t="s">
        <v>2503</v>
      </c>
      <c r="E707" t="s">
        <v>31</v>
      </c>
      <c r="F707" s="2" t="str">
        <f t="shared" ref="F707:F718" si="126">LEFT(D707,FIND(",",D707)-1)</f>
        <v>131</v>
      </c>
      <c r="G707" s="2" t="str">
        <f t="shared" ref="G707:G718" si="127">MID(D707,FIND(",",D707)+1,FIND(",",D707,FIND(",",D707)+1)-FIND(",",D707)-1)</f>
        <v>139</v>
      </c>
      <c r="H707" s="2" t="str">
        <f t="shared" ref="H707:H718" si="128">RIGHT(D707,LEN(D707)-FIND(",",D707,FIND(",",D707)+1))</f>
        <v>131</v>
      </c>
      <c r="I707" s="80"/>
    </row>
    <row r="708" spans="1:12" x14ac:dyDescent="0.25">
      <c r="A708" t="s">
        <v>802</v>
      </c>
      <c r="B708" t="s">
        <v>2567</v>
      </c>
      <c r="C708" s="2" t="s">
        <v>803</v>
      </c>
      <c r="D708" s="3" t="s">
        <v>2497</v>
      </c>
      <c r="E708" t="s">
        <v>31</v>
      </c>
      <c r="F708" s="2" t="str">
        <f t="shared" si="126"/>
        <v>139</v>
      </c>
      <c r="G708" s="2" t="str">
        <f t="shared" si="127"/>
        <v>119</v>
      </c>
      <c r="H708" s="2" t="str">
        <f t="shared" si="128"/>
        <v>101</v>
      </c>
      <c r="I708" s="78"/>
    </row>
    <row r="709" spans="1:12" x14ac:dyDescent="0.25">
      <c r="A709" t="s">
        <v>810</v>
      </c>
      <c r="B709" t="s">
        <v>2567</v>
      </c>
      <c r="C709" s="2" t="s">
        <v>811</v>
      </c>
      <c r="D709" s="3" t="s">
        <v>2500</v>
      </c>
      <c r="E709" t="s">
        <v>31</v>
      </c>
      <c r="F709" s="2" t="str">
        <f t="shared" si="126"/>
        <v>139</v>
      </c>
      <c r="G709" s="2" t="str">
        <f t="shared" si="127"/>
        <v>125</v>
      </c>
      <c r="H709" s="2" t="str">
        <f t="shared" si="128"/>
        <v>107</v>
      </c>
      <c r="I709" s="262"/>
    </row>
    <row r="710" spans="1:12" x14ac:dyDescent="0.25">
      <c r="A710" t="s">
        <v>819</v>
      </c>
      <c r="B710" t="s">
        <v>2567</v>
      </c>
      <c r="C710" s="2" t="s">
        <v>820</v>
      </c>
      <c r="D710" s="3" t="s">
        <v>1857</v>
      </c>
      <c r="E710" t="s">
        <v>31</v>
      </c>
      <c r="F710" s="2" t="str">
        <f t="shared" si="126"/>
        <v>139</v>
      </c>
      <c r="G710" s="2" t="str">
        <f t="shared" si="127"/>
        <v>62</v>
      </c>
      <c r="H710" s="2" t="str">
        <f t="shared" si="128"/>
        <v>47</v>
      </c>
      <c r="I710" s="550"/>
    </row>
    <row r="711" spans="1:12" x14ac:dyDescent="0.25">
      <c r="A711" t="s">
        <v>780</v>
      </c>
      <c r="B711" t="s">
        <v>2567</v>
      </c>
      <c r="C711" s="2" t="s">
        <v>781</v>
      </c>
      <c r="D711" s="3" t="s">
        <v>1850</v>
      </c>
      <c r="E711" t="s">
        <v>31</v>
      </c>
      <c r="F711" s="2" t="str">
        <f t="shared" si="126"/>
        <v>139</v>
      </c>
      <c r="G711" s="2" t="str">
        <f t="shared" si="127"/>
        <v>69</v>
      </c>
      <c r="H711" s="2" t="str">
        <f t="shared" si="128"/>
        <v>0</v>
      </c>
      <c r="I711" s="481"/>
    </row>
    <row r="712" spans="1:12" x14ac:dyDescent="0.25">
      <c r="A712" t="s">
        <v>853</v>
      </c>
      <c r="B712" t="s">
        <v>2567</v>
      </c>
      <c r="C712" s="2" t="s">
        <v>854</v>
      </c>
      <c r="D712" s="3" t="s">
        <v>1869</v>
      </c>
      <c r="E712" t="s">
        <v>31</v>
      </c>
      <c r="F712" s="2" t="str">
        <f t="shared" si="126"/>
        <v>139</v>
      </c>
      <c r="G712" s="2" t="str">
        <f t="shared" si="127"/>
        <v>71</v>
      </c>
      <c r="H712" s="2" t="str">
        <f t="shared" si="128"/>
        <v>38</v>
      </c>
      <c r="I712" s="485"/>
    </row>
    <row r="713" spans="1:12" x14ac:dyDescent="0.25">
      <c r="A713" t="s">
        <v>844</v>
      </c>
      <c r="B713" t="s">
        <v>2567</v>
      </c>
      <c r="C713" s="2" t="s">
        <v>845</v>
      </c>
      <c r="D713" s="3" t="s">
        <v>1864</v>
      </c>
      <c r="E713" t="s">
        <v>31</v>
      </c>
      <c r="F713" s="2" t="str">
        <f t="shared" si="126"/>
        <v>139</v>
      </c>
      <c r="G713" s="2" t="str">
        <f t="shared" si="127"/>
        <v>76</v>
      </c>
      <c r="H713" s="2" t="str">
        <f t="shared" si="128"/>
        <v>57</v>
      </c>
      <c r="I713" s="717"/>
    </row>
    <row r="714" spans="1:12" x14ac:dyDescent="0.25">
      <c r="A714" t="s">
        <v>793</v>
      </c>
      <c r="B714" t="s">
        <v>2567</v>
      </c>
      <c r="C714" s="2" t="s">
        <v>794</v>
      </c>
      <c r="D714" s="3" t="s">
        <v>1852</v>
      </c>
      <c r="E714" t="s">
        <v>31</v>
      </c>
      <c r="F714" s="2" t="str">
        <f t="shared" si="126"/>
        <v>139</v>
      </c>
      <c r="G714" s="2" t="str">
        <f t="shared" si="127"/>
        <v>87</v>
      </c>
      <c r="H714" s="2" t="str">
        <f t="shared" si="128"/>
        <v>66</v>
      </c>
      <c r="I714" s="784"/>
    </row>
    <row r="715" spans="1:12" x14ac:dyDescent="0.25">
      <c r="A715" t="s">
        <v>835</v>
      </c>
      <c r="B715" t="s">
        <v>2567</v>
      </c>
      <c r="C715" s="2" t="s">
        <v>836</v>
      </c>
      <c r="D715" s="3" t="s">
        <v>1861</v>
      </c>
      <c r="E715" t="s">
        <v>31</v>
      </c>
      <c r="F715" s="2" t="str">
        <f t="shared" si="126"/>
        <v>139</v>
      </c>
      <c r="G715" s="2" t="str">
        <f t="shared" si="127"/>
        <v>90</v>
      </c>
      <c r="H715" s="2" t="str">
        <f t="shared" si="128"/>
        <v>0</v>
      </c>
      <c r="I715" s="264"/>
    </row>
    <row r="716" spans="1:12" x14ac:dyDescent="0.25">
      <c r="A716" t="s">
        <v>855</v>
      </c>
      <c r="B716" t="s">
        <v>2567</v>
      </c>
      <c r="C716" s="2" t="s">
        <v>757</v>
      </c>
      <c r="D716" s="3" t="s">
        <v>1842</v>
      </c>
      <c r="E716" t="s">
        <v>31</v>
      </c>
      <c r="F716" s="2" t="str">
        <f t="shared" si="126"/>
        <v>142</v>
      </c>
      <c r="G716" s="2" t="str">
        <f t="shared" si="127"/>
        <v>35</v>
      </c>
      <c r="H716" s="2" t="str">
        <f t="shared" si="128"/>
        <v>35</v>
      </c>
      <c r="I716" s="82"/>
    </row>
    <row r="717" spans="1:12" x14ac:dyDescent="0.25">
      <c r="A717" t="s">
        <v>118</v>
      </c>
      <c r="B717" t="s">
        <v>2567</v>
      </c>
      <c r="C717" s="2" t="s">
        <v>846</v>
      </c>
      <c r="D717" s="3" t="s">
        <v>1865</v>
      </c>
      <c r="E717" t="s">
        <v>31</v>
      </c>
      <c r="F717" s="2" t="str">
        <f t="shared" si="126"/>
        <v>160</v>
      </c>
      <c r="G717" s="2" t="str">
        <f t="shared" si="127"/>
        <v>82</v>
      </c>
      <c r="H717" s="2" t="str">
        <f t="shared" si="128"/>
        <v>45</v>
      </c>
      <c r="I717" s="461"/>
    </row>
    <row r="718" spans="1:12" x14ac:dyDescent="0.25">
      <c r="A718" t="s">
        <v>825</v>
      </c>
      <c r="B718" t="s">
        <v>2567</v>
      </c>
      <c r="C718" s="2" t="s">
        <v>826</v>
      </c>
      <c r="D718" s="3" t="s">
        <v>2502</v>
      </c>
      <c r="E718" t="s">
        <v>31</v>
      </c>
      <c r="F718" s="2" t="str">
        <f t="shared" si="126"/>
        <v>193</v>
      </c>
      <c r="G718" s="2" t="str">
        <f t="shared" si="127"/>
        <v>205</v>
      </c>
      <c r="H718" s="2" t="str">
        <f t="shared" si="128"/>
        <v>193</v>
      </c>
      <c r="I718" s="716"/>
    </row>
    <row r="719" spans="1:12" x14ac:dyDescent="0.25">
      <c r="A719" t="s">
        <v>1296</v>
      </c>
      <c r="B719" t="s">
        <v>2567</v>
      </c>
      <c r="C719" s="2" t="s">
        <v>2674</v>
      </c>
      <c r="D719" s="3" t="s">
        <v>2009</v>
      </c>
      <c r="E719" t="s">
        <v>31</v>
      </c>
      <c r="F719" s="5">
        <v>196</v>
      </c>
      <c r="G719" s="5">
        <v>97</v>
      </c>
      <c r="H719" s="5">
        <v>15</v>
      </c>
      <c r="I719" s="288"/>
      <c r="L719" s="7"/>
    </row>
    <row r="720" spans="1:12" x14ac:dyDescent="0.25">
      <c r="A720" t="s">
        <v>778</v>
      </c>
      <c r="B720" t="s">
        <v>2567</v>
      </c>
      <c r="C720" s="2" t="s">
        <v>779</v>
      </c>
      <c r="D720" s="3" t="s">
        <v>1849</v>
      </c>
      <c r="E720" t="s">
        <v>31</v>
      </c>
      <c r="F720" s="2" t="str">
        <f t="shared" ref="F720:F729" si="129">LEFT(D720,FIND(",",D720)-1)</f>
        <v>205</v>
      </c>
      <c r="G720" s="2" t="str">
        <f t="shared" ref="G720:G729" si="130">MID(D720,FIND(",",D720)+1,FIND(",",D720,FIND(",",D720)+1)-FIND(",",D720)-1)</f>
        <v>102</v>
      </c>
      <c r="H720" s="2" t="str">
        <f t="shared" ref="H720:H729" si="131">RIGHT(D720,LEN(D720)-FIND(",",D720,FIND(",",D720)+1))</f>
        <v>0</v>
      </c>
      <c r="I720" s="405"/>
    </row>
    <row r="721" spans="1:12" x14ac:dyDescent="0.25">
      <c r="A721" t="s">
        <v>851</v>
      </c>
      <c r="B721" t="s">
        <v>2567</v>
      </c>
      <c r="C721" s="2" t="s">
        <v>852</v>
      </c>
      <c r="D721" s="3" t="s">
        <v>1868</v>
      </c>
      <c r="E721" t="s">
        <v>31</v>
      </c>
      <c r="F721" s="2" t="str">
        <f t="shared" si="129"/>
        <v>205</v>
      </c>
      <c r="G721" s="2" t="str">
        <f t="shared" si="130"/>
        <v>104</v>
      </c>
      <c r="H721" s="2" t="str">
        <f t="shared" si="131"/>
        <v>57</v>
      </c>
      <c r="I721" s="409"/>
    </row>
    <row r="722" spans="1:12" x14ac:dyDescent="0.25">
      <c r="A722" t="s">
        <v>842</v>
      </c>
      <c r="B722" t="s">
        <v>2567</v>
      </c>
      <c r="C722" s="2" t="s">
        <v>843</v>
      </c>
      <c r="D722" s="3" t="s">
        <v>1863</v>
      </c>
      <c r="E722" t="s">
        <v>31</v>
      </c>
      <c r="F722" s="2" t="str">
        <f t="shared" si="129"/>
        <v>205</v>
      </c>
      <c r="G722" s="2" t="str">
        <f t="shared" si="130"/>
        <v>112</v>
      </c>
      <c r="H722" s="2" t="str">
        <f t="shared" si="131"/>
        <v>84</v>
      </c>
      <c r="I722" s="656"/>
    </row>
    <row r="723" spans="1:12" x14ac:dyDescent="0.25">
      <c r="A723" t="s">
        <v>791</v>
      </c>
      <c r="B723" t="s">
        <v>2567</v>
      </c>
      <c r="C723" s="2" t="s">
        <v>792</v>
      </c>
      <c r="D723" s="3" t="s">
        <v>1851</v>
      </c>
      <c r="E723" t="s">
        <v>31</v>
      </c>
      <c r="F723" s="2" t="str">
        <f t="shared" si="129"/>
        <v>205</v>
      </c>
      <c r="G723" s="2" t="str">
        <f t="shared" si="130"/>
        <v>129</v>
      </c>
      <c r="H723" s="2" t="str">
        <f t="shared" si="131"/>
        <v>98</v>
      </c>
      <c r="I723" s="714"/>
    </row>
    <row r="724" spans="1:12" x14ac:dyDescent="0.25">
      <c r="A724" t="s">
        <v>833</v>
      </c>
      <c r="B724" t="s">
        <v>2567</v>
      </c>
      <c r="C724" s="2" t="s">
        <v>834</v>
      </c>
      <c r="D724" s="3" t="s">
        <v>1860</v>
      </c>
      <c r="E724" t="s">
        <v>31</v>
      </c>
      <c r="F724" s="2" t="str">
        <f t="shared" si="129"/>
        <v>205</v>
      </c>
      <c r="G724" s="2" t="str">
        <f t="shared" si="130"/>
        <v>133</v>
      </c>
      <c r="H724" s="2" t="str">
        <f t="shared" si="131"/>
        <v>0</v>
      </c>
      <c r="I724" s="484"/>
    </row>
    <row r="725" spans="1:12" x14ac:dyDescent="0.25">
      <c r="A725" t="s">
        <v>800</v>
      </c>
      <c r="B725" t="s">
        <v>2567</v>
      </c>
      <c r="C725" s="2" t="s">
        <v>801</v>
      </c>
      <c r="D725" s="3" t="s">
        <v>2496</v>
      </c>
      <c r="E725" t="s">
        <v>31</v>
      </c>
      <c r="F725" s="2" t="str">
        <f t="shared" si="129"/>
        <v>205</v>
      </c>
      <c r="G725" s="2" t="str">
        <f t="shared" si="130"/>
        <v>175</v>
      </c>
      <c r="H725" s="2" t="str">
        <f t="shared" si="131"/>
        <v>149</v>
      </c>
      <c r="I725" s="482"/>
    </row>
    <row r="726" spans="1:12" x14ac:dyDescent="0.25">
      <c r="A726" t="s">
        <v>808</v>
      </c>
      <c r="B726" t="s">
        <v>2567</v>
      </c>
      <c r="C726" s="2" t="s">
        <v>809</v>
      </c>
      <c r="D726" s="3" t="s">
        <v>2499</v>
      </c>
      <c r="E726" t="s">
        <v>31</v>
      </c>
      <c r="F726" s="2" t="str">
        <f t="shared" si="129"/>
        <v>205</v>
      </c>
      <c r="G726" s="2" t="str">
        <f t="shared" si="130"/>
        <v>183</v>
      </c>
      <c r="H726" s="2" t="str">
        <f t="shared" si="131"/>
        <v>158</v>
      </c>
      <c r="I726" s="715"/>
    </row>
    <row r="727" spans="1:12" x14ac:dyDescent="0.25">
      <c r="A727" t="s">
        <v>817</v>
      </c>
      <c r="B727" t="s">
        <v>2567</v>
      </c>
      <c r="C727" s="2" t="s">
        <v>818</v>
      </c>
      <c r="D727" s="3" t="s">
        <v>1856</v>
      </c>
      <c r="E727" t="s">
        <v>31</v>
      </c>
      <c r="F727" s="2" t="str">
        <f t="shared" si="129"/>
        <v>205</v>
      </c>
      <c r="G727" s="2" t="str">
        <f t="shared" si="130"/>
        <v>91</v>
      </c>
      <c r="H727" s="2" t="str">
        <f t="shared" si="131"/>
        <v>69</v>
      </c>
      <c r="I727" s="483"/>
    </row>
    <row r="728" spans="1:12" x14ac:dyDescent="0.25">
      <c r="A728" t="s">
        <v>823</v>
      </c>
      <c r="B728" t="s">
        <v>2567</v>
      </c>
      <c r="C728" s="2" t="s">
        <v>824</v>
      </c>
      <c r="D728" s="3" t="s">
        <v>2501</v>
      </c>
      <c r="E728" t="s">
        <v>31</v>
      </c>
      <c r="F728" s="2" t="str">
        <f t="shared" si="129"/>
        <v>224</v>
      </c>
      <c r="G728" s="2" t="str">
        <f t="shared" si="130"/>
        <v>238</v>
      </c>
      <c r="H728" s="2" t="str">
        <f t="shared" si="131"/>
        <v>224</v>
      </c>
      <c r="I728" s="655"/>
    </row>
    <row r="729" spans="1:12" x14ac:dyDescent="0.25">
      <c r="A729" t="s">
        <v>782</v>
      </c>
      <c r="B729" t="s">
        <v>2567</v>
      </c>
      <c r="C729" s="2" t="s">
        <v>783</v>
      </c>
      <c r="D729" s="3" t="s">
        <v>2277</v>
      </c>
      <c r="E729" t="s">
        <v>31</v>
      </c>
      <c r="F729" s="2" t="str">
        <f t="shared" si="129"/>
        <v>233</v>
      </c>
      <c r="G729" s="2" t="str">
        <f t="shared" si="130"/>
        <v>150</v>
      </c>
      <c r="H729" s="2" t="str">
        <f t="shared" si="131"/>
        <v>122</v>
      </c>
      <c r="I729" s="211"/>
    </row>
    <row r="730" spans="1:12" x14ac:dyDescent="0.25">
      <c r="A730" t="s">
        <v>1370</v>
      </c>
      <c r="B730" t="s">
        <v>2567</v>
      </c>
      <c r="C730" s="2" t="s">
        <v>2675</v>
      </c>
      <c r="D730" s="3" t="s">
        <v>2094</v>
      </c>
      <c r="E730" t="s">
        <v>31</v>
      </c>
      <c r="F730" s="5">
        <v>237</v>
      </c>
      <c r="G730" s="5">
        <v>135</v>
      </c>
      <c r="H730" s="5">
        <v>46</v>
      </c>
      <c r="I730" s="298"/>
      <c r="L730" s="7"/>
    </row>
    <row r="731" spans="1:12" x14ac:dyDescent="0.25">
      <c r="A731" t="s">
        <v>1386</v>
      </c>
      <c r="B731" t="s">
        <v>2567</v>
      </c>
      <c r="C731" s="2" t="s">
        <v>2676</v>
      </c>
      <c r="D731" s="3" t="s">
        <v>2110</v>
      </c>
      <c r="E731" t="s">
        <v>31</v>
      </c>
      <c r="F731" s="5">
        <v>237</v>
      </c>
      <c r="G731" s="5">
        <v>145</v>
      </c>
      <c r="H731" s="5">
        <v>33</v>
      </c>
      <c r="I731" s="514"/>
      <c r="L731" s="7"/>
    </row>
    <row r="732" spans="1:12" x14ac:dyDescent="0.25">
      <c r="A732" t="s">
        <v>815</v>
      </c>
      <c r="B732" t="s">
        <v>2567</v>
      </c>
      <c r="C732" s="2" t="s">
        <v>816</v>
      </c>
      <c r="D732" s="3" t="s">
        <v>1855</v>
      </c>
      <c r="E732" t="s">
        <v>31</v>
      </c>
      <c r="F732" s="2" t="str">
        <f t="shared" ref="F732:F757" si="132">LEFT(D732,FIND(",",D732)-1)</f>
        <v>238</v>
      </c>
      <c r="G732" s="2" t="str">
        <f t="shared" ref="G732:G757" si="133">MID(D732,FIND(",",D732)+1,FIND(",",D732,FIND(",",D732)+1)-FIND(",",D732)-1)</f>
        <v>106</v>
      </c>
      <c r="H732" s="2" t="str">
        <f t="shared" ref="H732:H757" si="134">RIGHT(D732,LEN(D732)-FIND(",",D732,FIND(",",D732)+1))</f>
        <v>80</v>
      </c>
      <c r="I732" s="407"/>
    </row>
    <row r="733" spans="1:12" x14ac:dyDescent="0.25">
      <c r="A733" t="s">
        <v>776</v>
      </c>
      <c r="B733" t="s">
        <v>2567</v>
      </c>
      <c r="C733" s="2" t="s">
        <v>777</v>
      </c>
      <c r="D733" s="3" t="s">
        <v>1848</v>
      </c>
      <c r="E733" t="s">
        <v>31</v>
      </c>
      <c r="F733" s="2" t="str">
        <f t="shared" si="132"/>
        <v>238</v>
      </c>
      <c r="G733" s="2" t="str">
        <f t="shared" si="133"/>
        <v>118</v>
      </c>
      <c r="H733" s="2" t="str">
        <f t="shared" si="134"/>
        <v>0</v>
      </c>
      <c r="I733" s="333"/>
    </row>
    <row r="734" spans="1:12" x14ac:dyDescent="0.25">
      <c r="A734" t="s">
        <v>849</v>
      </c>
      <c r="B734" t="s">
        <v>2567</v>
      </c>
      <c r="C734" s="2" t="s">
        <v>850</v>
      </c>
      <c r="D734" s="3" t="s">
        <v>1867</v>
      </c>
      <c r="E734" t="s">
        <v>31</v>
      </c>
      <c r="F734" s="2" t="str">
        <f t="shared" si="132"/>
        <v>238</v>
      </c>
      <c r="G734" s="2" t="str">
        <f t="shared" si="133"/>
        <v>121</v>
      </c>
      <c r="H734" s="2" t="str">
        <f t="shared" si="134"/>
        <v>66</v>
      </c>
      <c r="I734" s="265"/>
    </row>
    <row r="735" spans="1:12" x14ac:dyDescent="0.25">
      <c r="A735" t="s">
        <v>840</v>
      </c>
      <c r="B735" t="s">
        <v>2567</v>
      </c>
      <c r="C735" s="2" t="s">
        <v>841</v>
      </c>
      <c r="D735" s="3" t="s">
        <v>1862</v>
      </c>
      <c r="E735" t="s">
        <v>31</v>
      </c>
      <c r="F735" s="2" t="str">
        <f t="shared" si="132"/>
        <v>238</v>
      </c>
      <c r="G735" s="2" t="str">
        <f t="shared" si="133"/>
        <v>130</v>
      </c>
      <c r="H735" s="2" t="str">
        <f t="shared" si="134"/>
        <v>98</v>
      </c>
      <c r="I735" s="81"/>
    </row>
    <row r="736" spans="1:12" x14ac:dyDescent="0.25">
      <c r="A736" t="s">
        <v>789</v>
      </c>
      <c r="B736" t="s">
        <v>2567</v>
      </c>
      <c r="C736" s="2" t="s">
        <v>790</v>
      </c>
      <c r="D736" s="3" t="s">
        <v>2494</v>
      </c>
      <c r="E736" t="s">
        <v>31</v>
      </c>
      <c r="F736" s="2" t="str">
        <f t="shared" si="132"/>
        <v>238</v>
      </c>
      <c r="G736" s="2" t="str">
        <f t="shared" si="133"/>
        <v>149</v>
      </c>
      <c r="H736" s="2" t="str">
        <f t="shared" si="134"/>
        <v>114</v>
      </c>
      <c r="I736" s="653"/>
    </row>
    <row r="737" spans="1:9" x14ac:dyDescent="0.25">
      <c r="A737" t="s">
        <v>831</v>
      </c>
      <c r="B737" t="s">
        <v>2567</v>
      </c>
      <c r="C737" s="2" t="s">
        <v>832</v>
      </c>
      <c r="D737" s="3" t="s">
        <v>1859</v>
      </c>
      <c r="E737" t="s">
        <v>31</v>
      </c>
      <c r="F737" s="2" t="str">
        <f t="shared" si="132"/>
        <v>238</v>
      </c>
      <c r="G737" s="2" t="str">
        <f t="shared" si="133"/>
        <v>154</v>
      </c>
      <c r="H737" s="2" t="str">
        <f t="shared" si="134"/>
        <v>0</v>
      </c>
      <c r="I737" s="408"/>
    </row>
    <row r="738" spans="1:9" x14ac:dyDescent="0.25">
      <c r="A738" t="s">
        <v>798</v>
      </c>
      <c r="B738" t="s">
        <v>2567</v>
      </c>
      <c r="C738" s="2" t="s">
        <v>799</v>
      </c>
      <c r="D738" s="3" t="s">
        <v>2495</v>
      </c>
      <c r="E738" t="s">
        <v>31</v>
      </c>
      <c r="F738" s="2" t="str">
        <f t="shared" si="132"/>
        <v>238</v>
      </c>
      <c r="G738" s="2" t="str">
        <f t="shared" si="133"/>
        <v>203</v>
      </c>
      <c r="H738" s="2" t="str">
        <f t="shared" si="134"/>
        <v>173</v>
      </c>
      <c r="I738" s="406"/>
    </row>
    <row r="739" spans="1:9" x14ac:dyDescent="0.25">
      <c r="A739" t="s">
        <v>806</v>
      </c>
      <c r="B739" t="s">
        <v>2567</v>
      </c>
      <c r="C739" s="2" t="s">
        <v>807</v>
      </c>
      <c r="D739" s="3" t="s">
        <v>2498</v>
      </c>
      <c r="E739" t="s">
        <v>31</v>
      </c>
      <c r="F739" s="2" t="str">
        <f t="shared" si="132"/>
        <v>238</v>
      </c>
      <c r="G739" s="2" t="str">
        <f t="shared" si="133"/>
        <v>213</v>
      </c>
      <c r="H739" s="2" t="str">
        <f t="shared" si="134"/>
        <v>183</v>
      </c>
      <c r="I739" s="654"/>
    </row>
    <row r="740" spans="1:9" x14ac:dyDescent="0.25">
      <c r="A740" t="s">
        <v>784</v>
      </c>
      <c r="B740" t="s">
        <v>2567</v>
      </c>
      <c r="C740" s="2" t="s">
        <v>785</v>
      </c>
      <c r="D740" s="3" t="s">
        <v>2276</v>
      </c>
      <c r="E740" t="s">
        <v>31</v>
      </c>
      <c r="F740" s="2" t="str">
        <f t="shared" si="132"/>
        <v>240</v>
      </c>
      <c r="G740" s="2" t="str">
        <f t="shared" si="133"/>
        <v>128</v>
      </c>
      <c r="H740" s="2" t="str">
        <f t="shared" si="134"/>
        <v>128</v>
      </c>
      <c r="I740" s="180"/>
    </row>
    <row r="741" spans="1:9" x14ac:dyDescent="0.25">
      <c r="A741" t="s">
        <v>142</v>
      </c>
      <c r="B741" t="s">
        <v>2567</v>
      </c>
      <c r="C741" s="2" t="s">
        <v>821</v>
      </c>
      <c r="D741" s="3" t="s">
        <v>2332</v>
      </c>
      <c r="E741" t="s">
        <v>31</v>
      </c>
      <c r="F741" s="2" t="str">
        <f t="shared" si="132"/>
        <v>240</v>
      </c>
      <c r="G741" s="2" t="str">
        <f t="shared" si="133"/>
        <v>255</v>
      </c>
      <c r="H741" s="2" t="str">
        <f t="shared" si="134"/>
        <v>240</v>
      </c>
      <c r="I741" s="263"/>
    </row>
    <row r="742" spans="1:9" x14ac:dyDescent="0.25">
      <c r="A742" t="s">
        <v>822</v>
      </c>
      <c r="B742" t="s">
        <v>2567</v>
      </c>
      <c r="C742" s="2" t="s">
        <v>821</v>
      </c>
      <c r="D742" s="3" t="s">
        <v>2332</v>
      </c>
      <c r="E742" t="s">
        <v>31</v>
      </c>
      <c r="F742" s="2" t="str">
        <f t="shared" si="132"/>
        <v>240</v>
      </c>
      <c r="G742" s="2" t="str">
        <f t="shared" si="133"/>
        <v>255</v>
      </c>
      <c r="H742" s="2" t="str">
        <f t="shared" si="134"/>
        <v>240</v>
      </c>
      <c r="I742" s="263"/>
    </row>
    <row r="743" spans="1:9" x14ac:dyDescent="0.25">
      <c r="A743" t="s">
        <v>27</v>
      </c>
      <c r="B743" t="s">
        <v>2567</v>
      </c>
      <c r="C743" s="2" t="s">
        <v>837</v>
      </c>
      <c r="D743" s="3" t="s">
        <v>2278</v>
      </c>
      <c r="E743" t="s">
        <v>31</v>
      </c>
      <c r="F743" s="2" t="str">
        <f t="shared" si="132"/>
        <v>250</v>
      </c>
      <c r="G743" s="2" t="str">
        <f t="shared" si="133"/>
        <v>128</v>
      </c>
      <c r="H743" s="2" t="str">
        <f t="shared" si="134"/>
        <v>114</v>
      </c>
      <c r="I743" s="460"/>
    </row>
    <row r="744" spans="1:9" x14ac:dyDescent="0.25">
      <c r="A744" t="s">
        <v>1421</v>
      </c>
      <c r="B744" t="s">
        <v>2567</v>
      </c>
      <c r="C744" s="2" t="s">
        <v>812</v>
      </c>
      <c r="D744" s="3" t="s">
        <v>1578</v>
      </c>
      <c r="E744" t="s">
        <v>31</v>
      </c>
      <c r="F744" s="2" t="str">
        <f t="shared" si="132"/>
        <v>255</v>
      </c>
      <c r="G744" s="2" t="str">
        <f t="shared" si="133"/>
        <v xml:space="preserve"> 127</v>
      </c>
      <c r="H744" s="2" t="str">
        <f t="shared" si="134"/>
        <v xml:space="preserve"> 80</v>
      </c>
      <c r="I744" s="119"/>
    </row>
    <row r="745" spans="1:9" x14ac:dyDescent="0.25">
      <c r="A745" t="s">
        <v>772</v>
      </c>
      <c r="B745" t="s">
        <v>2567</v>
      </c>
      <c r="C745" s="2" t="s">
        <v>773</v>
      </c>
      <c r="D745" s="3" t="s">
        <v>1581</v>
      </c>
      <c r="E745" t="s">
        <v>31</v>
      </c>
      <c r="F745" s="2" t="str">
        <f t="shared" si="132"/>
        <v>255</v>
      </c>
      <c r="G745" s="2" t="str">
        <f t="shared" si="133"/>
        <v xml:space="preserve"> 140</v>
      </c>
      <c r="H745" s="2" t="str">
        <f t="shared" si="134"/>
        <v xml:space="preserve"> 0</v>
      </c>
      <c r="I745" s="76"/>
    </row>
    <row r="746" spans="1:9" x14ac:dyDescent="0.25">
      <c r="A746" t="s">
        <v>786</v>
      </c>
      <c r="B746" t="s">
        <v>2567</v>
      </c>
      <c r="C746" s="2" t="s">
        <v>787</v>
      </c>
      <c r="D746" s="3" t="s">
        <v>1566</v>
      </c>
      <c r="E746" t="s">
        <v>31</v>
      </c>
      <c r="F746" s="2" t="str">
        <f t="shared" si="132"/>
        <v>255</v>
      </c>
      <c r="G746" s="2" t="str">
        <f t="shared" si="133"/>
        <v xml:space="preserve"> 160</v>
      </c>
      <c r="H746" s="2" t="str">
        <f t="shared" si="134"/>
        <v xml:space="preserve"> 122</v>
      </c>
      <c r="I746" s="77"/>
    </row>
    <row r="747" spans="1:9" x14ac:dyDescent="0.25">
      <c r="A747" t="s">
        <v>856</v>
      </c>
      <c r="B747" t="s">
        <v>2567</v>
      </c>
      <c r="C747" s="2" t="s">
        <v>829</v>
      </c>
      <c r="D747" s="3" t="s">
        <v>1582</v>
      </c>
      <c r="E747" t="s">
        <v>31</v>
      </c>
      <c r="F747" s="2" t="str">
        <f t="shared" si="132"/>
        <v>255</v>
      </c>
      <c r="G747" s="2" t="str">
        <f t="shared" si="133"/>
        <v xml:space="preserve"> 165</v>
      </c>
      <c r="H747" s="2" t="str">
        <f t="shared" si="134"/>
        <v xml:space="preserve"> 0</v>
      </c>
      <c r="I747" s="120"/>
    </row>
    <row r="748" spans="1:9" x14ac:dyDescent="0.25">
      <c r="A748" t="s">
        <v>910</v>
      </c>
      <c r="B748" t="s">
        <v>2567</v>
      </c>
      <c r="C748" s="2" t="s">
        <v>911</v>
      </c>
      <c r="D748" s="3" t="s">
        <v>1580</v>
      </c>
      <c r="E748" t="s">
        <v>31</v>
      </c>
      <c r="F748" s="2" t="str">
        <f t="shared" si="132"/>
        <v>255</v>
      </c>
      <c r="G748" s="2" t="str">
        <f t="shared" si="133"/>
        <v xml:space="preserve"> 69</v>
      </c>
      <c r="H748" s="2" t="str">
        <f t="shared" si="134"/>
        <v xml:space="preserve"> 0</v>
      </c>
      <c r="I748" s="21"/>
    </row>
    <row r="749" spans="1:9" x14ac:dyDescent="0.25">
      <c r="A749" t="s">
        <v>1529</v>
      </c>
      <c r="B749" t="s">
        <v>2567</v>
      </c>
      <c r="C749" s="2" t="s">
        <v>969</v>
      </c>
      <c r="D749" s="3" t="s">
        <v>1579</v>
      </c>
      <c r="E749" t="s">
        <v>31</v>
      </c>
      <c r="F749" s="2" t="str">
        <f t="shared" si="132"/>
        <v>255</v>
      </c>
      <c r="G749" s="2" t="str">
        <f t="shared" si="133"/>
        <v xml:space="preserve"> 99</v>
      </c>
      <c r="H749" s="2" t="str">
        <f t="shared" si="134"/>
        <v xml:space="preserve"> 71</v>
      </c>
      <c r="I749" s="108"/>
    </row>
    <row r="750" spans="1:9" x14ac:dyDescent="0.25">
      <c r="A750" t="s">
        <v>813</v>
      </c>
      <c r="B750" t="s">
        <v>2567</v>
      </c>
      <c r="C750" s="2" t="s">
        <v>814</v>
      </c>
      <c r="D750" s="3" t="s">
        <v>1854</v>
      </c>
      <c r="E750" t="s">
        <v>31</v>
      </c>
      <c r="F750" s="2" t="str">
        <f t="shared" si="132"/>
        <v>255</v>
      </c>
      <c r="G750" s="2" t="str">
        <f t="shared" si="133"/>
        <v>114</v>
      </c>
      <c r="H750" s="2" t="str">
        <f t="shared" si="134"/>
        <v>86</v>
      </c>
      <c r="I750" s="79"/>
    </row>
    <row r="751" spans="1:9" x14ac:dyDescent="0.25">
      <c r="A751" t="s">
        <v>774</v>
      </c>
      <c r="B751" t="s">
        <v>2567</v>
      </c>
      <c r="C751" s="2" t="s">
        <v>775</v>
      </c>
      <c r="D751" s="3" t="s">
        <v>1847</v>
      </c>
      <c r="E751" t="s">
        <v>31</v>
      </c>
      <c r="F751" s="2" t="str">
        <f t="shared" si="132"/>
        <v>255</v>
      </c>
      <c r="G751" s="2" t="str">
        <f t="shared" si="133"/>
        <v>127</v>
      </c>
      <c r="H751" s="2" t="str">
        <f t="shared" si="134"/>
        <v>0</v>
      </c>
      <c r="I751" s="551"/>
    </row>
    <row r="752" spans="1:9" x14ac:dyDescent="0.25">
      <c r="A752" t="s">
        <v>23</v>
      </c>
      <c r="B752" t="s">
        <v>2567</v>
      </c>
      <c r="C752" s="2" t="s">
        <v>775</v>
      </c>
      <c r="D752" s="3" t="s">
        <v>1847</v>
      </c>
      <c r="E752" t="s">
        <v>31</v>
      </c>
      <c r="F752" s="2" t="str">
        <f t="shared" si="132"/>
        <v>255</v>
      </c>
      <c r="G752" s="2" t="str">
        <f t="shared" si="133"/>
        <v>127</v>
      </c>
      <c r="H752" s="2" t="str">
        <f t="shared" si="134"/>
        <v>0</v>
      </c>
      <c r="I752" s="551"/>
    </row>
    <row r="753" spans="1:12" x14ac:dyDescent="0.25">
      <c r="A753" t="s">
        <v>856</v>
      </c>
      <c r="B753" t="s">
        <v>2567</v>
      </c>
      <c r="C753" s="2" t="s">
        <v>775</v>
      </c>
      <c r="D753" s="3" t="s">
        <v>1847</v>
      </c>
      <c r="E753" t="s">
        <v>31</v>
      </c>
      <c r="F753" s="2" t="str">
        <f t="shared" si="132"/>
        <v>255</v>
      </c>
      <c r="G753" s="2" t="str">
        <f t="shared" si="133"/>
        <v>127</v>
      </c>
      <c r="H753" s="2" t="str">
        <f t="shared" si="134"/>
        <v>0</v>
      </c>
      <c r="I753" s="551"/>
    </row>
    <row r="754" spans="1:12" x14ac:dyDescent="0.25">
      <c r="A754" t="s">
        <v>23</v>
      </c>
      <c r="B754" t="s">
        <v>2567</v>
      </c>
      <c r="C754" s="2" t="s">
        <v>812</v>
      </c>
      <c r="D754" s="3" t="s">
        <v>1853</v>
      </c>
      <c r="E754" t="s">
        <v>31</v>
      </c>
      <c r="F754" s="2" t="str">
        <f t="shared" si="132"/>
        <v>255</v>
      </c>
      <c r="G754" s="2" t="str">
        <f t="shared" si="133"/>
        <v>127</v>
      </c>
      <c r="H754" s="2" t="str">
        <f t="shared" si="134"/>
        <v>80</v>
      </c>
      <c r="I754" s="119"/>
    </row>
    <row r="755" spans="1:12" x14ac:dyDescent="0.25">
      <c r="A755" t="s">
        <v>847</v>
      </c>
      <c r="B755" t="s">
        <v>2567</v>
      </c>
      <c r="C755" s="2" t="s">
        <v>848</v>
      </c>
      <c r="D755" s="3" t="s">
        <v>1866</v>
      </c>
      <c r="E755" t="s">
        <v>31</v>
      </c>
      <c r="F755" s="2" t="str">
        <f t="shared" si="132"/>
        <v>255</v>
      </c>
      <c r="G755" s="2" t="str">
        <f t="shared" si="133"/>
        <v>130</v>
      </c>
      <c r="H755" s="2" t="str">
        <f t="shared" si="134"/>
        <v>71</v>
      </c>
      <c r="I755" s="334"/>
    </row>
    <row r="756" spans="1:12" x14ac:dyDescent="0.25">
      <c r="A756" t="s">
        <v>30</v>
      </c>
      <c r="B756" t="s">
        <v>2567</v>
      </c>
      <c r="C756" s="2" t="s">
        <v>773</v>
      </c>
      <c r="D756" s="3" t="s">
        <v>1846</v>
      </c>
      <c r="E756" t="s">
        <v>31</v>
      </c>
      <c r="F756" s="2" t="str">
        <f t="shared" si="132"/>
        <v>255</v>
      </c>
      <c r="G756" s="2" t="str">
        <f t="shared" si="133"/>
        <v>140</v>
      </c>
      <c r="H756" s="2" t="str">
        <f t="shared" si="134"/>
        <v>0</v>
      </c>
      <c r="I756" s="76"/>
    </row>
    <row r="757" spans="1:12" x14ac:dyDescent="0.25">
      <c r="A757" t="s">
        <v>772</v>
      </c>
      <c r="B757" t="s">
        <v>2567</v>
      </c>
      <c r="C757" s="2" t="s">
        <v>773</v>
      </c>
      <c r="D757" s="3" t="s">
        <v>1846</v>
      </c>
      <c r="E757" t="s">
        <v>31</v>
      </c>
      <c r="F757" s="2" t="str">
        <f t="shared" si="132"/>
        <v>255</v>
      </c>
      <c r="G757" s="2" t="str">
        <f t="shared" si="133"/>
        <v>140</v>
      </c>
      <c r="H757" s="2" t="str">
        <f t="shared" si="134"/>
        <v>0</v>
      </c>
      <c r="I757" s="76"/>
    </row>
    <row r="758" spans="1:12" x14ac:dyDescent="0.25">
      <c r="A758" t="s">
        <v>1448</v>
      </c>
      <c r="B758" t="s">
        <v>2567</v>
      </c>
      <c r="C758" s="2" t="s">
        <v>773</v>
      </c>
      <c r="D758" s="3" t="s">
        <v>1846</v>
      </c>
      <c r="E758" t="s">
        <v>31</v>
      </c>
      <c r="F758" s="5">
        <v>255</v>
      </c>
      <c r="G758" s="5">
        <v>140</v>
      </c>
      <c r="H758" s="5">
        <v>0</v>
      </c>
      <c r="I758" s="76"/>
      <c r="L758" s="7"/>
    </row>
    <row r="759" spans="1:12" x14ac:dyDescent="0.25">
      <c r="A759" t="s">
        <v>838</v>
      </c>
      <c r="B759" t="s">
        <v>2567</v>
      </c>
      <c r="C759" s="2" t="s">
        <v>839</v>
      </c>
      <c r="D759" s="3" t="s">
        <v>2504</v>
      </c>
      <c r="E759" t="s">
        <v>31</v>
      </c>
      <c r="F759" s="2" t="str">
        <f t="shared" ref="F759:F769" si="135">LEFT(D759,FIND(",",D759)-1)</f>
        <v>255</v>
      </c>
      <c r="G759" s="2" t="str">
        <f t="shared" ref="G759:G769" si="136">MID(D759,FIND(",",D759)+1,FIND(",",D759,FIND(",",D759)+1)-FIND(",",D759)-1)</f>
        <v>140</v>
      </c>
      <c r="H759" s="2" t="str">
        <f t="shared" ref="H759:H769" si="137">RIGHT(D759,LEN(D759)-FIND(",",D759,FIND(",",D759)+1))</f>
        <v>105</v>
      </c>
      <c r="I759" s="597"/>
    </row>
    <row r="760" spans="1:12" x14ac:dyDescent="0.25">
      <c r="A760" t="s">
        <v>786</v>
      </c>
      <c r="B760" t="s">
        <v>2567</v>
      </c>
      <c r="C760" s="2" t="s">
        <v>787</v>
      </c>
      <c r="D760" s="3" t="s">
        <v>2279</v>
      </c>
      <c r="E760" t="s">
        <v>31</v>
      </c>
      <c r="F760" s="2" t="str">
        <f t="shared" si="135"/>
        <v>255</v>
      </c>
      <c r="G760" s="2" t="str">
        <f t="shared" si="136"/>
        <v>160</v>
      </c>
      <c r="H760" s="2" t="str">
        <f t="shared" si="137"/>
        <v>122</v>
      </c>
      <c r="I760" s="77"/>
    </row>
    <row r="761" spans="1:12" x14ac:dyDescent="0.25">
      <c r="A761" t="s">
        <v>788</v>
      </c>
      <c r="B761" t="s">
        <v>2567</v>
      </c>
      <c r="C761" s="2" t="s">
        <v>787</v>
      </c>
      <c r="D761" s="3" t="s">
        <v>2279</v>
      </c>
      <c r="E761" t="s">
        <v>31</v>
      </c>
      <c r="F761" s="2" t="str">
        <f t="shared" si="135"/>
        <v>255</v>
      </c>
      <c r="G761" s="2" t="str">
        <f t="shared" si="136"/>
        <v>160</v>
      </c>
      <c r="H761" s="2" t="str">
        <f t="shared" si="137"/>
        <v>122</v>
      </c>
      <c r="I761" s="77"/>
    </row>
    <row r="762" spans="1:12" x14ac:dyDescent="0.25">
      <c r="A762" t="s">
        <v>31</v>
      </c>
      <c r="B762" t="s">
        <v>2567</v>
      </c>
      <c r="C762" s="2" t="s">
        <v>829</v>
      </c>
      <c r="D762" s="3" t="s">
        <v>1858</v>
      </c>
      <c r="E762" t="s">
        <v>31</v>
      </c>
      <c r="F762" s="2" t="str">
        <f t="shared" si="135"/>
        <v>255</v>
      </c>
      <c r="G762" s="2" t="str">
        <f t="shared" si="136"/>
        <v>165</v>
      </c>
      <c r="H762" s="2" t="str">
        <f t="shared" si="137"/>
        <v>0</v>
      </c>
      <c r="I762" s="120"/>
    </row>
    <row r="763" spans="1:12" x14ac:dyDescent="0.25">
      <c r="A763" t="s">
        <v>31</v>
      </c>
      <c r="B763" t="s">
        <v>2567</v>
      </c>
      <c r="C763" s="2" t="s">
        <v>829</v>
      </c>
      <c r="D763" s="3" t="s">
        <v>1858</v>
      </c>
      <c r="E763" t="s">
        <v>31</v>
      </c>
      <c r="F763" s="2" t="str">
        <f t="shared" si="135"/>
        <v>255</v>
      </c>
      <c r="G763" s="2" t="str">
        <f t="shared" si="136"/>
        <v>165</v>
      </c>
      <c r="H763" s="2" t="str">
        <f t="shared" si="137"/>
        <v>0</v>
      </c>
      <c r="I763" s="120"/>
    </row>
    <row r="764" spans="1:12" x14ac:dyDescent="0.25">
      <c r="A764" t="s">
        <v>830</v>
      </c>
      <c r="B764" t="s">
        <v>2567</v>
      </c>
      <c r="C764" s="2" t="s">
        <v>829</v>
      </c>
      <c r="D764" s="3" t="s">
        <v>1858</v>
      </c>
      <c r="E764" t="s">
        <v>31</v>
      </c>
      <c r="F764" s="2" t="str">
        <f t="shared" si="135"/>
        <v>255</v>
      </c>
      <c r="G764" s="2" t="str">
        <f t="shared" si="136"/>
        <v>165</v>
      </c>
      <c r="H764" s="2" t="str">
        <f t="shared" si="137"/>
        <v>0</v>
      </c>
      <c r="I764" s="120"/>
    </row>
    <row r="765" spans="1:12" x14ac:dyDescent="0.25">
      <c r="A765" t="s">
        <v>795</v>
      </c>
      <c r="B765" t="s">
        <v>2567</v>
      </c>
      <c r="C765" s="2" t="s">
        <v>796</v>
      </c>
      <c r="D765" s="3" t="s">
        <v>2319</v>
      </c>
      <c r="E765" t="s">
        <v>31</v>
      </c>
      <c r="F765" s="2" t="str">
        <f t="shared" si="135"/>
        <v>255</v>
      </c>
      <c r="G765" s="2" t="str">
        <f t="shared" si="136"/>
        <v>218</v>
      </c>
      <c r="H765" s="2" t="str">
        <f t="shared" si="137"/>
        <v>185</v>
      </c>
      <c r="I765" s="128"/>
    </row>
    <row r="766" spans="1:12" x14ac:dyDescent="0.25">
      <c r="A766" t="s">
        <v>797</v>
      </c>
      <c r="B766" t="s">
        <v>2567</v>
      </c>
      <c r="C766" s="2" t="s">
        <v>796</v>
      </c>
      <c r="D766" s="3" t="s">
        <v>2319</v>
      </c>
      <c r="E766" t="s">
        <v>31</v>
      </c>
      <c r="F766" s="2" t="str">
        <f t="shared" si="135"/>
        <v>255</v>
      </c>
      <c r="G766" s="2" t="str">
        <f t="shared" si="136"/>
        <v>218</v>
      </c>
      <c r="H766" s="2" t="str">
        <f t="shared" si="137"/>
        <v>185</v>
      </c>
      <c r="I766" s="128"/>
    </row>
    <row r="767" spans="1:12" x14ac:dyDescent="0.25">
      <c r="A767" t="s">
        <v>110</v>
      </c>
      <c r="B767" t="s">
        <v>2567</v>
      </c>
      <c r="C767" s="2" t="s">
        <v>804</v>
      </c>
      <c r="D767" s="3" t="s">
        <v>2314</v>
      </c>
      <c r="E767" t="s">
        <v>31</v>
      </c>
      <c r="F767" s="2" t="str">
        <f t="shared" si="135"/>
        <v>255</v>
      </c>
      <c r="G767" s="2" t="str">
        <f t="shared" si="136"/>
        <v>228</v>
      </c>
      <c r="H767" s="2" t="str">
        <f t="shared" si="137"/>
        <v>196</v>
      </c>
      <c r="I767" s="117"/>
    </row>
    <row r="768" spans="1:12" x14ac:dyDescent="0.25">
      <c r="A768" t="s">
        <v>805</v>
      </c>
      <c r="B768" t="s">
        <v>2567</v>
      </c>
      <c r="C768" s="2" t="s">
        <v>804</v>
      </c>
      <c r="D768" s="3" t="s">
        <v>2314</v>
      </c>
      <c r="E768" t="s">
        <v>31</v>
      </c>
      <c r="F768" s="2" t="str">
        <f t="shared" si="135"/>
        <v>255</v>
      </c>
      <c r="G768" s="2" t="str">
        <f t="shared" si="136"/>
        <v>228</v>
      </c>
      <c r="H768" s="2" t="str">
        <f t="shared" si="137"/>
        <v>196</v>
      </c>
      <c r="I768" s="117"/>
    </row>
    <row r="769" spans="1:12" x14ac:dyDescent="0.25">
      <c r="A769" t="s">
        <v>857</v>
      </c>
      <c r="B769" t="s">
        <v>2567</v>
      </c>
      <c r="C769" s="2" t="s">
        <v>858</v>
      </c>
      <c r="D769" s="3" t="s">
        <v>1870</v>
      </c>
      <c r="E769" t="s">
        <v>31</v>
      </c>
      <c r="F769" s="2" t="str">
        <f t="shared" si="135"/>
        <v>255</v>
      </c>
      <c r="G769" s="2" t="str">
        <f t="shared" si="136"/>
        <v>36</v>
      </c>
      <c r="H769" s="2" t="str">
        <f t="shared" si="137"/>
        <v>0</v>
      </c>
      <c r="I769" s="598"/>
    </row>
    <row r="770" spans="1:12" x14ac:dyDescent="0.25">
      <c r="A770" t="s">
        <v>1420</v>
      </c>
      <c r="B770" t="s">
        <v>2567</v>
      </c>
      <c r="C770" s="2" t="s">
        <v>2677</v>
      </c>
      <c r="D770" s="3" t="s">
        <v>2148</v>
      </c>
      <c r="E770" t="s">
        <v>31</v>
      </c>
      <c r="F770" s="5">
        <v>255</v>
      </c>
      <c r="G770" s="5">
        <v>56</v>
      </c>
      <c r="H770" s="5">
        <v>0</v>
      </c>
      <c r="I770" s="305"/>
      <c r="L770" s="7"/>
    </row>
    <row r="771" spans="1:12" x14ac:dyDescent="0.25">
      <c r="A771" t="s">
        <v>29</v>
      </c>
      <c r="B771" t="s">
        <v>2567</v>
      </c>
      <c r="C771" s="2" t="s">
        <v>911</v>
      </c>
      <c r="D771" s="3" t="s">
        <v>1883</v>
      </c>
      <c r="E771" t="s">
        <v>31</v>
      </c>
      <c r="F771" s="2" t="str">
        <f>LEFT(D771,FIND(",",D771)-1)</f>
        <v>255</v>
      </c>
      <c r="G771" s="2" t="str">
        <f>MID(D771,FIND(",",D771)+1,FIND(",",D771,FIND(",",D771)+1)-FIND(",",D771)-1)</f>
        <v>69</v>
      </c>
      <c r="H771" s="2" t="str">
        <f>RIGHT(D771,LEN(D771)-FIND(",",D771,FIND(",",D771)+1))</f>
        <v>0</v>
      </c>
      <c r="I771" s="21"/>
    </row>
    <row r="772" spans="1:12" x14ac:dyDescent="0.25">
      <c r="A772" t="s">
        <v>771</v>
      </c>
      <c r="B772" t="s">
        <v>2567</v>
      </c>
      <c r="E772" t="s">
        <v>31</v>
      </c>
      <c r="I772" s="18"/>
    </row>
    <row r="773" spans="1:12" x14ac:dyDescent="0.25">
      <c r="A773" t="s">
        <v>1527</v>
      </c>
      <c r="B773" t="s">
        <v>2567</v>
      </c>
      <c r="D773" s="3" t="s">
        <v>1571</v>
      </c>
      <c r="E773" t="s">
        <v>21</v>
      </c>
      <c r="I773" s="18"/>
    </row>
    <row r="774" spans="1:12" x14ac:dyDescent="0.25">
      <c r="A774" t="s">
        <v>1342</v>
      </c>
      <c r="B774" t="s">
        <v>2567</v>
      </c>
      <c r="C774" s="2">
        <v>660000</v>
      </c>
      <c r="D774" s="3" t="s">
        <v>2058</v>
      </c>
      <c r="E774" t="s">
        <v>21</v>
      </c>
      <c r="F774" s="5">
        <v>102</v>
      </c>
      <c r="G774" s="5">
        <v>0</v>
      </c>
      <c r="H774" s="5">
        <v>0</v>
      </c>
      <c r="I774" s="572"/>
      <c r="L774" s="7"/>
    </row>
    <row r="775" spans="1:12" x14ac:dyDescent="0.25">
      <c r="A775" t="s">
        <v>981</v>
      </c>
      <c r="B775" t="s">
        <v>2567</v>
      </c>
      <c r="C775" s="2" t="s">
        <v>982</v>
      </c>
      <c r="D775" s="3" t="s">
        <v>1908</v>
      </c>
      <c r="E775" t="s">
        <v>21</v>
      </c>
      <c r="F775" s="2" t="str">
        <f>LEFT(D775,FIND(",",D775)-1)</f>
        <v>111</v>
      </c>
      <c r="G775" s="2" t="str">
        <f>MID(D775,FIND(",",D775)+1,FIND(",",D775,FIND(",",D775)+1)-FIND(",",D775)-1)</f>
        <v>66</v>
      </c>
      <c r="H775" s="2" t="str">
        <f>RIGHT(D775,LEN(D775)-FIND(",",D775,FIND(",",D775)+1))</f>
        <v>66</v>
      </c>
      <c r="I775" s="492"/>
    </row>
    <row r="776" spans="1:12" x14ac:dyDescent="0.25">
      <c r="A776" t="s">
        <v>1324</v>
      </c>
      <c r="B776" t="s">
        <v>2567</v>
      </c>
      <c r="C776" s="2" t="s">
        <v>2678</v>
      </c>
      <c r="D776" s="3" t="s">
        <v>2039</v>
      </c>
      <c r="E776" t="s">
        <v>21</v>
      </c>
      <c r="F776" s="5">
        <v>125</v>
      </c>
      <c r="G776" s="5">
        <v>10</v>
      </c>
      <c r="H776" s="5">
        <v>3</v>
      </c>
      <c r="I776" s="507"/>
      <c r="L776" s="7"/>
    </row>
    <row r="777" spans="1:12" x14ac:dyDescent="0.25">
      <c r="A777" t="s">
        <v>16</v>
      </c>
      <c r="B777" t="s">
        <v>2567</v>
      </c>
      <c r="C777" s="2">
        <v>800000</v>
      </c>
      <c r="D777" s="3" t="s">
        <v>1943</v>
      </c>
      <c r="E777" t="s">
        <v>21</v>
      </c>
      <c r="F777" s="2" t="str">
        <f>LEFT(D777,FIND(",",D777)-1)</f>
        <v>128</v>
      </c>
      <c r="G777" s="2" t="str">
        <f>MID(D777,FIND(",",D777)+1,FIND(",",D777,FIND(",",D777)+1)-FIND(",",D777)-1)</f>
        <v>0</v>
      </c>
      <c r="H777" s="2" t="str">
        <f>RIGHT(D777,LEN(D777)-FIND(",",D777,FIND(",",D777)+1))</f>
        <v>0</v>
      </c>
      <c r="I777" s="9"/>
    </row>
    <row r="778" spans="1:12" x14ac:dyDescent="0.25">
      <c r="A778" t="s">
        <v>1359</v>
      </c>
      <c r="B778" t="s">
        <v>2567</v>
      </c>
      <c r="C778" s="2">
        <v>800020</v>
      </c>
      <c r="D778" s="3" t="s">
        <v>2083</v>
      </c>
      <c r="E778" t="s">
        <v>21</v>
      </c>
      <c r="F778" s="5">
        <v>128</v>
      </c>
      <c r="G778" s="5">
        <v>0</v>
      </c>
      <c r="H778" s="5">
        <v>33</v>
      </c>
      <c r="I778" s="511"/>
      <c r="L778" s="7"/>
    </row>
    <row r="779" spans="1:12" x14ac:dyDescent="0.25">
      <c r="A779" t="s">
        <v>1497</v>
      </c>
      <c r="B779" t="s">
        <v>2567</v>
      </c>
      <c r="C779" s="2">
        <v>801818</v>
      </c>
      <c r="D779" s="3" t="s">
        <v>2219</v>
      </c>
      <c r="E779" t="s">
        <v>21</v>
      </c>
      <c r="F779" s="5">
        <v>128</v>
      </c>
      <c r="G779" s="5">
        <v>23</v>
      </c>
      <c r="H779" s="5">
        <v>23</v>
      </c>
      <c r="I779" s="454"/>
      <c r="L779" s="7"/>
    </row>
    <row r="780" spans="1:12" x14ac:dyDescent="0.25">
      <c r="A780" t="s">
        <v>977</v>
      </c>
      <c r="B780" t="s">
        <v>2567</v>
      </c>
      <c r="C780" s="2">
        <v>856363</v>
      </c>
      <c r="D780" s="3" t="s">
        <v>1806</v>
      </c>
      <c r="E780" t="s">
        <v>21</v>
      </c>
      <c r="F780" s="2" t="str">
        <f>LEFT(D780,FIND(",",D780)-1)</f>
        <v>133</v>
      </c>
      <c r="G780" s="2" t="str">
        <f>MID(D780,FIND(",",D780)+1,FIND(",",D780,FIND(",",D780)+1)-FIND(",",D780)-1)</f>
        <v>99</v>
      </c>
      <c r="H780" s="2" t="str">
        <f>RIGHT(D780,LEN(D780)-FIND(",",D780,FIND(",",D780)+1))</f>
        <v>99</v>
      </c>
      <c r="I780" s="731"/>
    </row>
    <row r="781" spans="1:12" x14ac:dyDescent="0.25">
      <c r="A781" t="s">
        <v>1423</v>
      </c>
      <c r="B781" t="s">
        <v>2567</v>
      </c>
      <c r="C781" s="2" t="s">
        <v>2679</v>
      </c>
      <c r="D781" s="3" t="s">
        <v>2150</v>
      </c>
      <c r="E781" t="s">
        <v>21</v>
      </c>
      <c r="F781" s="5">
        <v>138</v>
      </c>
      <c r="G781" s="5">
        <v>64</v>
      </c>
      <c r="H781" s="5">
        <v>69</v>
      </c>
      <c r="I781" s="814"/>
      <c r="L781" s="7"/>
    </row>
    <row r="782" spans="1:12" x14ac:dyDescent="0.25">
      <c r="A782" t="s">
        <v>1526</v>
      </c>
      <c r="B782" t="s">
        <v>2567</v>
      </c>
      <c r="C782" s="2" t="s">
        <v>968</v>
      </c>
      <c r="D782" s="3" t="s">
        <v>1570</v>
      </c>
      <c r="E782" t="s">
        <v>21</v>
      </c>
      <c r="F782" s="2" t="str">
        <f t="shared" ref="F782:F795" si="138">LEFT(D782,FIND(",",D782)-1)</f>
        <v>139</v>
      </c>
      <c r="G782" s="2" t="str">
        <f t="shared" ref="G782:G795" si="139">MID(D782,FIND(",",D782)+1,FIND(",",D782,FIND(",",D782)+1)-FIND(",",D782)-1)</f>
        <v xml:space="preserve"> 0</v>
      </c>
      <c r="H782" s="2" t="str">
        <f t="shared" ref="H782:H795" si="140">RIGHT(D782,LEN(D782)-FIND(",",D782,FIND(",",D782)+1))</f>
        <v xml:space="preserve"> 0</v>
      </c>
      <c r="I782" s="89"/>
    </row>
    <row r="783" spans="1:12" x14ac:dyDescent="0.25">
      <c r="A783" t="s">
        <v>17</v>
      </c>
      <c r="B783" t="s">
        <v>2567</v>
      </c>
      <c r="C783" s="2" t="s">
        <v>968</v>
      </c>
      <c r="D783" s="3" t="s">
        <v>1903</v>
      </c>
      <c r="E783" t="s">
        <v>21</v>
      </c>
      <c r="F783" s="2" t="str">
        <f t="shared" si="138"/>
        <v>139</v>
      </c>
      <c r="G783" s="2" t="str">
        <f t="shared" si="139"/>
        <v>0</v>
      </c>
      <c r="H783" s="2" t="str">
        <f t="shared" si="140"/>
        <v>0</v>
      </c>
      <c r="I783" s="89"/>
    </row>
    <row r="784" spans="1:12" x14ac:dyDescent="0.25">
      <c r="A784" t="s">
        <v>967</v>
      </c>
      <c r="B784" t="s">
        <v>2567</v>
      </c>
      <c r="C784" s="2" t="s">
        <v>968</v>
      </c>
      <c r="D784" s="3" t="s">
        <v>1903</v>
      </c>
      <c r="E784" t="s">
        <v>21</v>
      </c>
      <c r="F784" s="2" t="str">
        <f t="shared" si="138"/>
        <v>139</v>
      </c>
      <c r="G784" s="2" t="str">
        <f t="shared" si="139"/>
        <v>0</v>
      </c>
      <c r="H784" s="2" t="str">
        <f t="shared" si="140"/>
        <v>0</v>
      </c>
      <c r="I784" s="89"/>
    </row>
    <row r="785" spans="1:12" x14ac:dyDescent="0.25">
      <c r="A785" t="s">
        <v>867</v>
      </c>
      <c r="B785" t="s">
        <v>2567</v>
      </c>
      <c r="C785" s="2" t="s">
        <v>868</v>
      </c>
      <c r="D785" s="3" t="s">
        <v>1874</v>
      </c>
      <c r="E785" t="s">
        <v>21</v>
      </c>
      <c r="F785" s="2" t="str">
        <f t="shared" si="138"/>
        <v>139</v>
      </c>
      <c r="G785" s="2" t="str">
        <f t="shared" si="139"/>
        <v>10</v>
      </c>
      <c r="H785" s="2" t="str">
        <f t="shared" si="140"/>
        <v>80</v>
      </c>
      <c r="I785" s="486"/>
    </row>
    <row r="786" spans="1:12" x14ac:dyDescent="0.25">
      <c r="A786" t="s">
        <v>908</v>
      </c>
      <c r="B786" t="s">
        <v>2567</v>
      </c>
      <c r="C786" s="2" t="s">
        <v>909</v>
      </c>
      <c r="D786" s="3" t="s">
        <v>2513</v>
      </c>
      <c r="E786" t="s">
        <v>21</v>
      </c>
      <c r="F786" s="2" t="str">
        <f t="shared" si="138"/>
        <v>139</v>
      </c>
      <c r="G786" s="2" t="str">
        <f t="shared" si="139"/>
        <v>125</v>
      </c>
      <c r="H786" s="2" t="str">
        <f t="shared" si="140"/>
        <v>123</v>
      </c>
      <c r="I786" s="488"/>
    </row>
    <row r="787" spans="1:12" x14ac:dyDescent="0.25">
      <c r="A787" t="s">
        <v>946</v>
      </c>
      <c r="B787" t="s">
        <v>2567</v>
      </c>
      <c r="C787" s="2" t="s">
        <v>947</v>
      </c>
      <c r="D787" s="3" t="s">
        <v>1897</v>
      </c>
      <c r="E787" t="s">
        <v>21</v>
      </c>
      <c r="F787" s="2" t="str">
        <f t="shared" si="138"/>
        <v>139</v>
      </c>
      <c r="G787" s="2" t="str">
        <f t="shared" si="139"/>
        <v>26</v>
      </c>
      <c r="H787" s="2" t="str">
        <f t="shared" si="140"/>
        <v>26</v>
      </c>
      <c r="I787" s="414"/>
    </row>
    <row r="788" spans="1:12" x14ac:dyDescent="0.25">
      <c r="A788" t="s">
        <v>937</v>
      </c>
      <c r="B788" t="s">
        <v>2567</v>
      </c>
      <c r="C788" s="2" t="s">
        <v>938</v>
      </c>
      <c r="D788" s="3" t="s">
        <v>1892</v>
      </c>
      <c r="E788" t="s">
        <v>21</v>
      </c>
      <c r="F788" s="2" t="str">
        <f t="shared" si="138"/>
        <v>139</v>
      </c>
      <c r="G788" s="2" t="str">
        <f t="shared" si="139"/>
        <v>34</v>
      </c>
      <c r="H788" s="2" t="str">
        <f t="shared" si="140"/>
        <v>82</v>
      </c>
      <c r="I788" s="660"/>
    </row>
    <row r="789" spans="1:12" x14ac:dyDescent="0.25">
      <c r="A789" t="s">
        <v>917</v>
      </c>
      <c r="B789" t="s">
        <v>2567</v>
      </c>
      <c r="C789" s="2" t="s">
        <v>918</v>
      </c>
      <c r="D789" s="3" t="s">
        <v>1886</v>
      </c>
      <c r="E789" t="s">
        <v>21</v>
      </c>
      <c r="F789" s="2" t="str">
        <f t="shared" si="138"/>
        <v>139</v>
      </c>
      <c r="G789" s="2" t="str">
        <f t="shared" si="139"/>
        <v>37</v>
      </c>
      <c r="H789" s="2" t="str">
        <f t="shared" si="140"/>
        <v>0</v>
      </c>
      <c r="I789" s="719"/>
    </row>
    <row r="790" spans="1:12" x14ac:dyDescent="0.25">
      <c r="A790" t="s">
        <v>975</v>
      </c>
      <c r="B790" t="s">
        <v>2567</v>
      </c>
      <c r="C790" s="2" t="s">
        <v>976</v>
      </c>
      <c r="D790" s="3" t="s">
        <v>1907</v>
      </c>
      <c r="E790" t="s">
        <v>21</v>
      </c>
      <c r="F790" s="2" t="str">
        <f t="shared" si="138"/>
        <v>139</v>
      </c>
      <c r="G790" s="2" t="str">
        <f t="shared" si="139"/>
        <v>54</v>
      </c>
      <c r="H790" s="2" t="str">
        <f t="shared" si="140"/>
        <v>38</v>
      </c>
      <c r="I790" s="270"/>
    </row>
    <row r="791" spans="1:12" x14ac:dyDescent="0.25">
      <c r="A791" t="s">
        <v>887</v>
      </c>
      <c r="B791" t="s">
        <v>2567</v>
      </c>
      <c r="C791" s="2" t="s">
        <v>888</v>
      </c>
      <c r="D791" s="3" t="s">
        <v>1880</v>
      </c>
      <c r="E791" t="s">
        <v>21</v>
      </c>
      <c r="F791" s="2" t="str">
        <f t="shared" si="138"/>
        <v>139</v>
      </c>
      <c r="G791" s="2" t="str">
        <f t="shared" si="139"/>
        <v>58</v>
      </c>
      <c r="H791" s="2" t="str">
        <f t="shared" si="140"/>
        <v>58</v>
      </c>
      <c r="I791" s="487"/>
    </row>
    <row r="792" spans="1:12" x14ac:dyDescent="0.25">
      <c r="A792" t="s">
        <v>877</v>
      </c>
      <c r="B792" t="s">
        <v>2567</v>
      </c>
      <c r="C792" s="2" t="s">
        <v>878</v>
      </c>
      <c r="D792" s="3" t="s">
        <v>1876</v>
      </c>
      <c r="E792" t="s">
        <v>21</v>
      </c>
      <c r="F792" s="2" t="str">
        <f t="shared" si="138"/>
        <v>139</v>
      </c>
      <c r="G792" s="2" t="str">
        <f t="shared" si="139"/>
        <v>58</v>
      </c>
      <c r="H792" s="2" t="str">
        <f t="shared" si="140"/>
        <v>98</v>
      </c>
      <c r="I792" s="718"/>
    </row>
    <row r="793" spans="1:12" x14ac:dyDescent="0.25">
      <c r="A793" t="s">
        <v>927</v>
      </c>
      <c r="B793" t="s">
        <v>2567</v>
      </c>
      <c r="C793" s="2" t="s">
        <v>928</v>
      </c>
      <c r="D793" s="3" t="s">
        <v>1887</v>
      </c>
      <c r="E793" t="s">
        <v>21</v>
      </c>
      <c r="F793" s="2" t="str">
        <f t="shared" si="138"/>
        <v>139</v>
      </c>
      <c r="G793" s="2" t="str">
        <f t="shared" si="139"/>
        <v>71</v>
      </c>
      <c r="H793" s="2" t="str">
        <f t="shared" si="140"/>
        <v>93</v>
      </c>
      <c r="I793" s="413"/>
    </row>
    <row r="794" spans="1:12" x14ac:dyDescent="0.25">
      <c r="A794" t="s">
        <v>897</v>
      </c>
      <c r="B794" t="s">
        <v>2567</v>
      </c>
      <c r="C794" s="2" t="s">
        <v>898</v>
      </c>
      <c r="D794" s="3" t="s">
        <v>1881</v>
      </c>
      <c r="E794" t="s">
        <v>21</v>
      </c>
      <c r="F794" s="2" t="str">
        <f t="shared" si="138"/>
        <v>139</v>
      </c>
      <c r="G794" s="2" t="str">
        <f t="shared" si="139"/>
        <v>95</v>
      </c>
      <c r="H794" s="2" t="str">
        <f t="shared" si="140"/>
        <v>101</v>
      </c>
      <c r="I794" s="658"/>
    </row>
    <row r="795" spans="1:12" x14ac:dyDescent="0.25">
      <c r="A795" t="s">
        <v>955</v>
      </c>
      <c r="B795" t="s">
        <v>2567</v>
      </c>
      <c r="C795" s="2" t="s">
        <v>956</v>
      </c>
      <c r="D795" s="3" t="s">
        <v>1898</v>
      </c>
      <c r="E795" t="s">
        <v>21</v>
      </c>
      <c r="F795" s="2" t="str">
        <f t="shared" si="138"/>
        <v>139</v>
      </c>
      <c r="G795" s="2" t="str">
        <f t="shared" si="139"/>
        <v>99</v>
      </c>
      <c r="H795" s="2" t="str">
        <f t="shared" si="140"/>
        <v>108</v>
      </c>
      <c r="I795" s="88"/>
    </row>
    <row r="796" spans="1:12" x14ac:dyDescent="0.25">
      <c r="A796" t="s">
        <v>1451</v>
      </c>
      <c r="B796" t="s">
        <v>2567</v>
      </c>
      <c r="C796" s="2" t="s">
        <v>968</v>
      </c>
      <c r="D796" s="3" t="s">
        <v>2180</v>
      </c>
      <c r="E796" t="s">
        <v>21</v>
      </c>
      <c r="F796" s="5">
        <v>140</v>
      </c>
      <c r="G796" s="5">
        <v>0</v>
      </c>
      <c r="H796" s="5">
        <v>0</v>
      </c>
      <c r="I796" s="839"/>
      <c r="L796" s="7"/>
    </row>
    <row r="797" spans="1:12" x14ac:dyDescent="0.25">
      <c r="A797" t="s">
        <v>983</v>
      </c>
      <c r="B797" t="s">
        <v>2567</v>
      </c>
      <c r="C797" s="2" t="s">
        <v>984</v>
      </c>
      <c r="D797" s="3" t="s">
        <v>1909</v>
      </c>
      <c r="E797" t="s">
        <v>21</v>
      </c>
      <c r="F797" s="2" t="str">
        <f>LEFT(D797,FIND(",",D797)-1)</f>
        <v>140</v>
      </c>
      <c r="G797" s="2" t="str">
        <f>MID(D797,FIND(",",D797)+1,FIND(",",D797,FIND(",",D797)+1)-FIND(",",D797)-1)</f>
        <v>23</v>
      </c>
      <c r="H797" s="2" t="str">
        <f>RIGHT(D797,LEN(D797)-FIND(",",D797,FIND(",",D797)+1))</f>
        <v>23</v>
      </c>
      <c r="I797" s="555"/>
    </row>
    <row r="798" spans="1:12" x14ac:dyDescent="0.25">
      <c r="A798" t="s">
        <v>978</v>
      </c>
      <c r="B798" t="s">
        <v>2567</v>
      </c>
      <c r="C798" s="2" t="s">
        <v>757</v>
      </c>
      <c r="D798" s="3" t="s">
        <v>1842</v>
      </c>
      <c r="E798" t="s">
        <v>21</v>
      </c>
      <c r="F798" s="2" t="str">
        <f>LEFT(D798,FIND(",",D798)-1)</f>
        <v>142</v>
      </c>
      <c r="G798" s="2" t="str">
        <f>MID(D798,FIND(",",D798)+1,FIND(",",D798,FIND(",",D798)+1)-FIND(",",D798)-1)</f>
        <v>35</v>
      </c>
      <c r="H798" s="2" t="str">
        <f>RIGHT(D798,LEN(D798)-FIND(",",D798,FIND(",",D798)+1))</f>
        <v>35</v>
      </c>
      <c r="I798" s="82"/>
    </row>
    <row r="799" spans="1:12" x14ac:dyDescent="0.25">
      <c r="A799" t="s">
        <v>1382</v>
      </c>
      <c r="B799" t="s">
        <v>2567</v>
      </c>
      <c r="C799" s="2">
        <v>960018</v>
      </c>
      <c r="D799" s="3" t="s">
        <v>2105</v>
      </c>
      <c r="E799" t="s">
        <v>21</v>
      </c>
      <c r="F799" s="5">
        <v>150</v>
      </c>
      <c r="G799" s="5">
        <v>0</v>
      </c>
      <c r="H799" s="5">
        <v>23</v>
      </c>
      <c r="I799" s="743"/>
      <c r="L799" s="7"/>
    </row>
    <row r="800" spans="1:12" x14ac:dyDescent="0.25">
      <c r="A800" t="s">
        <v>1996</v>
      </c>
      <c r="B800" t="s">
        <v>2567</v>
      </c>
      <c r="C800" s="2" t="s">
        <v>2680</v>
      </c>
      <c r="D800" s="3" t="s">
        <v>2160</v>
      </c>
      <c r="E800" t="s">
        <v>21</v>
      </c>
      <c r="F800" s="5">
        <v>158</v>
      </c>
      <c r="G800" s="5">
        <v>28</v>
      </c>
      <c r="H800" s="5">
        <v>51</v>
      </c>
      <c r="I800" s="367"/>
      <c r="L800" s="7"/>
    </row>
    <row r="801" spans="1:12" x14ac:dyDescent="0.25">
      <c r="A801" t="s">
        <v>18</v>
      </c>
      <c r="B801" t="s">
        <v>2567</v>
      </c>
      <c r="C801" s="2" t="s">
        <v>590</v>
      </c>
      <c r="D801" s="3" t="s">
        <v>1787</v>
      </c>
      <c r="E801" t="s">
        <v>21</v>
      </c>
      <c r="F801" s="2" t="str">
        <f>LEFT(D801,FIND(",",D801)-1)</f>
        <v>165</v>
      </c>
      <c r="G801" s="2" t="str">
        <f>MID(D801,FIND(",",D801)+1,FIND(",",D801,FIND(",",D801)+1)-FIND(",",D801)-1)</f>
        <v>42</v>
      </c>
      <c r="H801" s="2" t="str">
        <f>RIGHT(D801,LEN(D801)-FIND(",",D801,FIND(",",D801)+1))</f>
        <v>42</v>
      </c>
      <c r="I801" s="210"/>
    </row>
    <row r="802" spans="1:12" x14ac:dyDescent="0.25">
      <c r="A802" t="s">
        <v>1403</v>
      </c>
      <c r="B802" t="s">
        <v>2567</v>
      </c>
      <c r="C802" s="2" t="s">
        <v>2681</v>
      </c>
      <c r="D802" s="3" t="s">
        <v>2129</v>
      </c>
      <c r="E802" t="s">
        <v>21</v>
      </c>
      <c r="F802" s="5">
        <v>171</v>
      </c>
      <c r="G802" s="5">
        <v>56</v>
      </c>
      <c r="H802" s="5">
        <v>31</v>
      </c>
      <c r="I802" s="822"/>
      <c r="L802" s="7"/>
    </row>
    <row r="803" spans="1:12" x14ac:dyDescent="0.25">
      <c r="A803" t="s">
        <v>1491</v>
      </c>
      <c r="B803" t="s">
        <v>2567</v>
      </c>
      <c r="C803" s="2" t="s">
        <v>2682</v>
      </c>
      <c r="D803" s="3" t="s">
        <v>2214</v>
      </c>
      <c r="E803" t="s">
        <v>21</v>
      </c>
      <c r="F803" s="5">
        <v>171</v>
      </c>
      <c r="G803" s="5">
        <v>74</v>
      </c>
      <c r="H803" s="5">
        <v>82</v>
      </c>
      <c r="I803" s="823"/>
      <c r="L803" s="7"/>
    </row>
    <row r="804" spans="1:12" x14ac:dyDescent="0.25">
      <c r="A804" t="s">
        <v>1525</v>
      </c>
      <c r="B804" t="s">
        <v>2567</v>
      </c>
      <c r="C804" s="2" t="s">
        <v>939</v>
      </c>
      <c r="D804" s="3" t="s">
        <v>1569</v>
      </c>
      <c r="E804" t="s">
        <v>21</v>
      </c>
      <c r="F804" s="2" t="str">
        <f>LEFT(D804,FIND(",",D804)-1)</f>
        <v>178</v>
      </c>
      <c r="G804" s="2" t="str">
        <f>MID(D804,FIND(",",D804)+1,FIND(",",D804,FIND(",",D804)+1)-FIND(",",D804)-1)</f>
        <v xml:space="preserve"> 34</v>
      </c>
      <c r="H804" s="2" t="str">
        <f>RIGHT(D804,LEN(D804)-FIND(",",D804,FIND(",",D804)+1))</f>
        <v xml:space="preserve"> 34</v>
      </c>
      <c r="I804" s="309"/>
    </row>
    <row r="805" spans="1:12" x14ac:dyDescent="0.25">
      <c r="A805" t="s">
        <v>19</v>
      </c>
      <c r="B805" t="s">
        <v>2567</v>
      </c>
      <c r="C805" s="2" t="s">
        <v>939</v>
      </c>
      <c r="D805" s="3" t="s">
        <v>1893</v>
      </c>
      <c r="E805" t="s">
        <v>21</v>
      </c>
      <c r="F805" s="2" t="str">
        <f>LEFT(D805,FIND(",",D805)-1)</f>
        <v>178</v>
      </c>
      <c r="G805" s="2" t="str">
        <f>MID(D805,FIND(",",D805)+1,FIND(",",D805,FIND(",",D805)+1)-FIND(",",D805)-1)</f>
        <v>34</v>
      </c>
      <c r="H805" s="2" t="str">
        <f>RIGHT(D805,LEN(D805)-FIND(",",D805,FIND(",",D805)+1))</f>
        <v>34</v>
      </c>
      <c r="I805" s="309"/>
    </row>
    <row r="806" spans="1:12" x14ac:dyDescent="0.25">
      <c r="A806" t="s">
        <v>19</v>
      </c>
      <c r="B806" t="s">
        <v>2567</v>
      </c>
      <c r="C806" s="2" t="s">
        <v>939</v>
      </c>
      <c r="D806" s="3" t="s">
        <v>1893</v>
      </c>
      <c r="E806" t="s">
        <v>21</v>
      </c>
      <c r="F806" s="2" t="str">
        <f>LEFT(D806,FIND(",",D806)-1)</f>
        <v>178</v>
      </c>
      <c r="G806" s="2" t="str">
        <f>MID(D806,FIND(",",D806)+1,FIND(",",D806,FIND(",",D806)+1)-FIND(",",D806)-1)</f>
        <v>34</v>
      </c>
      <c r="H806" s="2" t="str">
        <f>RIGHT(D806,LEN(D806)-FIND(",",D806,FIND(",",D806)+1))</f>
        <v>34</v>
      </c>
      <c r="I806" s="309"/>
    </row>
    <row r="807" spans="1:12" x14ac:dyDescent="0.25">
      <c r="A807" t="s">
        <v>1384</v>
      </c>
      <c r="B807" t="s">
        <v>2567</v>
      </c>
      <c r="C807" s="2" t="s">
        <v>2683</v>
      </c>
      <c r="D807" s="3" t="s">
        <v>2108</v>
      </c>
      <c r="E807" t="s">
        <v>21</v>
      </c>
      <c r="F807" s="5">
        <v>179</v>
      </c>
      <c r="G807" s="5">
        <v>28</v>
      </c>
      <c r="H807" s="5">
        <v>28</v>
      </c>
      <c r="I807" s="442"/>
      <c r="L807" s="7"/>
    </row>
    <row r="808" spans="1:12" x14ac:dyDescent="0.25">
      <c r="A808" t="s">
        <v>978</v>
      </c>
      <c r="B808" t="s">
        <v>2567</v>
      </c>
      <c r="C808" s="2" t="s">
        <v>939</v>
      </c>
      <c r="D808" s="3" t="s">
        <v>2227</v>
      </c>
      <c r="E808" t="s">
        <v>21</v>
      </c>
      <c r="F808" s="5">
        <v>179</v>
      </c>
      <c r="G808" s="5">
        <v>33</v>
      </c>
      <c r="H808" s="5">
        <v>33</v>
      </c>
      <c r="I808" s="455"/>
      <c r="L808" s="7"/>
    </row>
    <row r="809" spans="1:12" x14ac:dyDescent="0.25">
      <c r="A809" t="s">
        <v>980</v>
      </c>
      <c r="B809" t="s">
        <v>2567</v>
      </c>
      <c r="C809" s="2" t="s">
        <v>576</v>
      </c>
      <c r="D809" s="3" t="s">
        <v>2317</v>
      </c>
      <c r="E809" t="s">
        <v>21</v>
      </c>
      <c r="F809" s="2" t="str">
        <f>LEFT(D809,FIND(",",D809)-1)</f>
        <v>188</v>
      </c>
      <c r="G809" s="2" t="str">
        <f>MID(D809,FIND(",",D809)+1,FIND(",",D809,FIND(",",D809)+1)-FIND(",",D809)-1)</f>
        <v>143</v>
      </c>
      <c r="H809" s="2" t="str">
        <f>RIGHT(D809,LEN(D809)-FIND(",",D809,FIND(",",D809)+1))</f>
        <v>143</v>
      </c>
      <c r="I809" s="416"/>
    </row>
    <row r="810" spans="1:12" x14ac:dyDescent="0.25">
      <c r="A810" t="s">
        <v>989</v>
      </c>
      <c r="B810" t="s">
        <v>2567</v>
      </c>
      <c r="C810" s="2" t="s">
        <v>990</v>
      </c>
      <c r="D810" s="3" t="s">
        <v>1912</v>
      </c>
      <c r="E810" t="s">
        <v>21</v>
      </c>
      <c r="F810" s="2" t="str">
        <f>LEFT(D810,FIND(",",D810)-1)</f>
        <v>192</v>
      </c>
      <c r="G810" s="2" t="str">
        <f>MID(D810,FIND(",",D810)+1,FIND(",",D810,FIND(",",D810)+1)-FIND(",",D810)-1)</f>
        <v>0</v>
      </c>
      <c r="H810" s="2" t="str">
        <f>RIGHT(D810,LEN(D810)-FIND(",",D810,FIND(",",D810)+1))</f>
        <v>0</v>
      </c>
      <c r="I810" s="662"/>
    </row>
    <row r="811" spans="1:12" x14ac:dyDescent="0.25">
      <c r="A811" t="s">
        <v>1353</v>
      </c>
      <c r="B811" t="s">
        <v>2567</v>
      </c>
      <c r="C811" s="2" t="s">
        <v>2684</v>
      </c>
      <c r="D811" s="3" t="s">
        <v>2076</v>
      </c>
      <c r="E811" t="s">
        <v>21</v>
      </c>
      <c r="F811" s="5">
        <v>194</v>
      </c>
      <c r="G811" s="5">
        <v>33</v>
      </c>
      <c r="H811" s="5">
        <v>71</v>
      </c>
      <c r="I811" s="618"/>
      <c r="L811" s="7"/>
    </row>
    <row r="812" spans="1:12" x14ac:dyDescent="0.25">
      <c r="A812" t="s">
        <v>1380</v>
      </c>
      <c r="B812" t="s">
        <v>2567</v>
      </c>
      <c r="C812" s="2" t="s">
        <v>2685</v>
      </c>
      <c r="D812" s="3" t="s">
        <v>2103</v>
      </c>
      <c r="E812" t="s">
        <v>21</v>
      </c>
      <c r="F812" s="5">
        <v>196</v>
      </c>
      <c r="G812" s="5">
        <v>31</v>
      </c>
      <c r="H812" s="5">
        <v>59</v>
      </c>
      <c r="I812" s="620"/>
      <c r="L812" s="7"/>
    </row>
    <row r="813" spans="1:12" x14ac:dyDescent="0.25">
      <c r="A813" t="s">
        <v>899</v>
      </c>
      <c r="B813" t="s">
        <v>2567</v>
      </c>
      <c r="C813" s="2" t="s">
        <v>900</v>
      </c>
      <c r="D813" s="3" t="s">
        <v>1576</v>
      </c>
      <c r="E813" t="s">
        <v>21</v>
      </c>
      <c r="F813" s="2" t="str">
        <f>LEFT(D813,FIND(",",D813)-1)</f>
        <v>199</v>
      </c>
      <c r="G813" s="2" t="str">
        <f>MID(D813,FIND(",",D813)+1,FIND(",",D813,FIND(",",D813)+1)-FIND(",",D813)-1)</f>
        <v xml:space="preserve"> 21</v>
      </c>
      <c r="H813" s="2" t="str">
        <f>RIGHT(D813,LEN(D813)-FIND(",",D813,FIND(",",D813)+1))</f>
        <v xml:space="preserve"> 133</v>
      </c>
      <c r="I813" s="116"/>
    </row>
    <row r="814" spans="1:12" x14ac:dyDescent="0.25">
      <c r="A814" t="s">
        <v>899</v>
      </c>
      <c r="B814" t="s">
        <v>2567</v>
      </c>
      <c r="C814" s="2" t="s">
        <v>900</v>
      </c>
      <c r="D814" s="3" t="s">
        <v>1882</v>
      </c>
      <c r="E814" t="s">
        <v>21</v>
      </c>
      <c r="F814" s="2" t="str">
        <f>LEFT(D814,FIND(",",D814)-1)</f>
        <v>199</v>
      </c>
      <c r="G814" s="2" t="str">
        <f>MID(D814,FIND(",",D814)+1,FIND(",",D814,FIND(",",D814)+1)-FIND(",",D814)-1)</f>
        <v>21</v>
      </c>
      <c r="H814" s="2" t="str">
        <f>RIGHT(D814,LEN(D814)-FIND(",",D814,FIND(",",D814)+1))</f>
        <v>133</v>
      </c>
      <c r="I814" s="116"/>
    </row>
    <row r="815" spans="1:12" x14ac:dyDescent="0.25">
      <c r="A815" t="s">
        <v>1518</v>
      </c>
      <c r="B815" t="s">
        <v>2567</v>
      </c>
      <c r="C815" s="2" t="s">
        <v>2686</v>
      </c>
      <c r="D815" s="3" t="s">
        <v>2241</v>
      </c>
      <c r="E815" t="s">
        <v>21</v>
      </c>
      <c r="F815" s="5">
        <v>199</v>
      </c>
      <c r="G815" s="5">
        <v>43</v>
      </c>
      <c r="H815" s="5">
        <v>71</v>
      </c>
      <c r="I815" s="378"/>
      <c r="L815" s="7"/>
    </row>
    <row r="816" spans="1:12" x14ac:dyDescent="0.25">
      <c r="A816" t="s">
        <v>3260</v>
      </c>
      <c r="B816" t="s">
        <v>2567</v>
      </c>
      <c r="C816" s="2" t="s">
        <v>960</v>
      </c>
      <c r="D816" s="3" t="s">
        <v>1899</v>
      </c>
      <c r="E816" t="s">
        <v>21</v>
      </c>
      <c r="F816" s="2" t="str">
        <f>LEFT(D816,FIND(",",D816)-1)</f>
        <v>204</v>
      </c>
      <c r="G816" s="2" t="str">
        <f>MID(D816,FIND(",",D816)+1,FIND(",",D816,FIND(",",D816)+1)-FIND(",",D816)-1)</f>
        <v>51</v>
      </c>
      <c r="H816" s="2" t="str">
        <f>RIGHT(D816,LEN(D816)-FIND(",",D816,FIND(",",D816)+1))</f>
        <v>51</v>
      </c>
      <c r="I816" s="787"/>
    </row>
    <row r="817" spans="1:12" x14ac:dyDescent="0.25">
      <c r="A817" t="s">
        <v>1351</v>
      </c>
      <c r="B817" t="s">
        <v>2567</v>
      </c>
      <c r="C817" s="2" t="s">
        <v>2687</v>
      </c>
      <c r="D817" s="3" t="s">
        <v>2074</v>
      </c>
      <c r="E817" t="s">
        <v>21</v>
      </c>
      <c r="F817" s="5">
        <v>204</v>
      </c>
      <c r="G817" s="5">
        <v>64</v>
      </c>
      <c r="H817" s="5">
        <v>84</v>
      </c>
      <c r="I817" s="510"/>
      <c r="L817" s="7"/>
    </row>
    <row r="818" spans="1:12" x14ac:dyDescent="0.25">
      <c r="A818" t="s">
        <v>1492</v>
      </c>
      <c r="B818" t="s">
        <v>2567</v>
      </c>
      <c r="C818" s="2" t="s">
        <v>2688</v>
      </c>
      <c r="D818" s="3" t="s">
        <v>2215</v>
      </c>
      <c r="E818" t="s">
        <v>21</v>
      </c>
      <c r="F818" s="5">
        <v>204</v>
      </c>
      <c r="G818" s="5">
        <v>71</v>
      </c>
      <c r="H818" s="5">
        <v>74</v>
      </c>
      <c r="I818" s="633"/>
      <c r="L818" s="7"/>
    </row>
    <row r="819" spans="1:12" x14ac:dyDescent="0.25">
      <c r="A819" t="s">
        <v>965</v>
      </c>
      <c r="B819" t="s">
        <v>2567</v>
      </c>
      <c r="C819" s="2" t="s">
        <v>966</v>
      </c>
      <c r="D819" s="3" t="s">
        <v>1902</v>
      </c>
      <c r="E819" t="s">
        <v>21</v>
      </c>
      <c r="F819" s="2" t="str">
        <f t="shared" ref="F819:F833" si="141">LEFT(D819,FIND(",",D819)-1)</f>
        <v>205</v>
      </c>
      <c r="G819" s="2" t="str">
        <f t="shared" ref="G819:G833" si="142">MID(D819,FIND(",",D819)+1,FIND(",",D819,FIND(",",D819)+1)-FIND(",",D819)-1)</f>
        <v>0</v>
      </c>
      <c r="H819" s="2" t="str">
        <f t="shared" ref="H819:H833" si="143">RIGHT(D819,LEN(D819)-FIND(",",D819,FIND(",",D819)+1))</f>
        <v>0</v>
      </c>
      <c r="I819" s="491"/>
    </row>
    <row r="820" spans="1:12" x14ac:dyDescent="0.25">
      <c r="A820" t="s">
        <v>925</v>
      </c>
      <c r="B820" t="s">
        <v>2567</v>
      </c>
      <c r="C820" s="2" t="s">
        <v>926</v>
      </c>
      <c r="D820" s="3" t="s">
        <v>2516</v>
      </c>
      <c r="E820" t="s">
        <v>21</v>
      </c>
      <c r="F820" s="2" t="str">
        <f t="shared" si="141"/>
        <v>205</v>
      </c>
      <c r="G820" s="2" t="str">
        <f t="shared" si="142"/>
        <v>104</v>
      </c>
      <c r="H820" s="2" t="str">
        <f t="shared" si="143"/>
        <v>137</v>
      </c>
      <c r="I820" s="86"/>
    </row>
    <row r="821" spans="1:12" x14ac:dyDescent="0.25">
      <c r="A821" t="s">
        <v>895</v>
      </c>
      <c r="B821" t="s">
        <v>2567</v>
      </c>
      <c r="C821" s="2" t="s">
        <v>896</v>
      </c>
      <c r="D821" s="3" t="s">
        <v>2510</v>
      </c>
      <c r="E821" t="s">
        <v>21</v>
      </c>
      <c r="F821" s="2" t="str">
        <f t="shared" si="141"/>
        <v>205</v>
      </c>
      <c r="G821" s="2" t="str">
        <f t="shared" si="142"/>
        <v>140</v>
      </c>
      <c r="H821" s="2" t="str">
        <f t="shared" si="143"/>
        <v>149</v>
      </c>
      <c r="I821" s="85"/>
    </row>
    <row r="822" spans="1:12" x14ac:dyDescent="0.25">
      <c r="A822" t="s">
        <v>953</v>
      </c>
      <c r="B822" t="s">
        <v>2567</v>
      </c>
      <c r="C822" s="2" t="s">
        <v>954</v>
      </c>
      <c r="D822" s="3" t="s">
        <v>2519</v>
      </c>
      <c r="E822" t="s">
        <v>21</v>
      </c>
      <c r="F822" s="2" t="str">
        <f t="shared" si="141"/>
        <v>205</v>
      </c>
      <c r="G822" s="2" t="str">
        <f t="shared" si="142"/>
        <v>145</v>
      </c>
      <c r="H822" s="2" t="str">
        <f t="shared" si="143"/>
        <v>158</v>
      </c>
      <c r="I822" s="603"/>
    </row>
    <row r="823" spans="1:12" x14ac:dyDescent="0.25">
      <c r="A823" t="s">
        <v>865</v>
      </c>
      <c r="B823" t="s">
        <v>2567</v>
      </c>
      <c r="C823" s="2" t="s">
        <v>866</v>
      </c>
      <c r="D823" s="3" t="s">
        <v>1873</v>
      </c>
      <c r="E823" t="s">
        <v>21</v>
      </c>
      <c r="F823" s="2" t="str">
        <f t="shared" si="141"/>
        <v>205</v>
      </c>
      <c r="G823" s="2" t="str">
        <f t="shared" si="142"/>
        <v>16</v>
      </c>
      <c r="H823" s="2" t="str">
        <f t="shared" si="143"/>
        <v>118</v>
      </c>
      <c r="I823" s="410"/>
    </row>
    <row r="824" spans="1:12" x14ac:dyDescent="0.25">
      <c r="A824" t="s">
        <v>906</v>
      </c>
      <c r="B824" t="s">
        <v>2567</v>
      </c>
      <c r="C824" s="2" t="s">
        <v>907</v>
      </c>
      <c r="D824" s="3" t="s">
        <v>2512</v>
      </c>
      <c r="E824" t="s">
        <v>21</v>
      </c>
      <c r="F824" s="2" t="str">
        <f t="shared" si="141"/>
        <v>205</v>
      </c>
      <c r="G824" s="2" t="str">
        <f t="shared" si="142"/>
        <v>183</v>
      </c>
      <c r="H824" s="2" t="str">
        <f t="shared" si="143"/>
        <v>181</v>
      </c>
      <c r="I824" s="412"/>
    </row>
    <row r="825" spans="1:12" x14ac:dyDescent="0.25">
      <c r="A825" t="s">
        <v>944</v>
      </c>
      <c r="B825" t="s">
        <v>2567</v>
      </c>
      <c r="C825" s="2" t="s">
        <v>945</v>
      </c>
      <c r="D825" s="3" t="s">
        <v>1896</v>
      </c>
      <c r="E825" t="s">
        <v>21</v>
      </c>
      <c r="F825" s="2" t="str">
        <f t="shared" si="141"/>
        <v>205</v>
      </c>
      <c r="G825" s="2" t="str">
        <f t="shared" si="142"/>
        <v>38</v>
      </c>
      <c r="H825" s="2" t="str">
        <f t="shared" si="143"/>
        <v>38</v>
      </c>
      <c r="I825" s="337"/>
    </row>
    <row r="826" spans="1:12" x14ac:dyDescent="0.25">
      <c r="A826" t="s">
        <v>935</v>
      </c>
      <c r="B826" t="s">
        <v>2567</v>
      </c>
      <c r="C826" s="2" t="s">
        <v>936</v>
      </c>
      <c r="D826" s="3" t="s">
        <v>1891</v>
      </c>
      <c r="E826" t="s">
        <v>21</v>
      </c>
      <c r="F826" s="2" t="str">
        <f t="shared" si="141"/>
        <v>205</v>
      </c>
      <c r="G826" s="2" t="str">
        <f t="shared" si="142"/>
        <v>50</v>
      </c>
      <c r="H826" s="2" t="str">
        <f t="shared" si="143"/>
        <v>120</v>
      </c>
      <c r="I826" s="268"/>
    </row>
    <row r="827" spans="1:12" x14ac:dyDescent="0.25">
      <c r="A827" t="s">
        <v>915</v>
      </c>
      <c r="B827" t="s">
        <v>2567</v>
      </c>
      <c r="C827" s="2" t="s">
        <v>916</v>
      </c>
      <c r="D827" s="3" t="s">
        <v>1885</v>
      </c>
      <c r="E827" t="s">
        <v>21</v>
      </c>
      <c r="F827" s="2" t="str">
        <f t="shared" si="141"/>
        <v>205</v>
      </c>
      <c r="G827" s="2" t="str">
        <f t="shared" si="142"/>
        <v>55</v>
      </c>
      <c r="H827" s="2" t="str">
        <f t="shared" si="143"/>
        <v>0</v>
      </c>
      <c r="I827" s="659"/>
    </row>
    <row r="828" spans="1:12" x14ac:dyDescent="0.25">
      <c r="A828" t="s">
        <v>973</v>
      </c>
      <c r="B828" t="s">
        <v>2567</v>
      </c>
      <c r="C828" s="2" t="s">
        <v>974</v>
      </c>
      <c r="D828" s="3" t="s">
        <v>1906</v>
      </c>
      <c r="E828" t="s">
        <v>21</v>
      </c>
      <c r="F828" s="2" t="str">
        <f t="shared" si="141"/>
        <v>205</v>
      </c>
      <c r="G828" s="2" t="str">
        <f t="shared" si="142"/>
        <v>79</v>
      </c>
      <c r="H828" s="2" t="str">
        <f t="shared" si="143"/>
        <v>57</v>
      </c>
      <c r="I828" s="720"/>
    </row>
    <row r="829" spans="1:12" x14ac:dyDescent="0.25">
      <c r="A829" t="s">
        <v>885</v>
      </c>
      <c r="B829" t="s">
        <v>2567</v>
      </c>
      <c r="C829" s="2" t="s">
        <v>886</v>
      </c>
      <c r="D829" s="3" t="s">
        <v>1879</v>
      </c>
      <c r="E829" t="s">
        <v>21</v>
      </c>
      <c r="F829" s="2" t="str">
        <f t="shared" si="141"/>
        <v>205</v>
      </c>
      <c r="G829" s="2" t="str">
        <f t="shared" si="142"/>
        <v>85</v>
      </c>
      <c r="H829" s="2" t="str">
        <f t="shared" si="143"/>
        <v>85</v>
      </c>
      <c r="I829" s="411"/>
    </row>
    <row r="830" spans="1:12" x14ac:dyDescent="0.25">
      <c r="A830" t="s">
        <v>24</v>
      </c>
      <c r="B830" t="s">
        <v>2567</v>
      </c>
      <c r="C830" s="2" t="s">
        <v>880</v>
      </c>
      <c r="D830" s="3" t="s">
        <v>1877</v>
      </c>
      <c r="E830" t="s">
        <v>21</v>
      </c>
      <c r="F830" s="2" t="str">
        <f t="shared" si="141"/>
        <v>205</v>
      </c>
      <c r="G830" s="2" t="str">
        <f t="shared" si="142"/>
        <v>92</v>
      </c>
      <c r="H830" s="2" t="str">
        <f t="shared" si="143"/>
        <v>92</v>
      </c>
      <c r="I830" s="84"/>
    </row>
    <row r="831" spans="1:12" x14ac:dyDescent="0.25">
      <c r="A831" t="s">
        <v>879</v>
      </c>
      <c r="B831" t="s">
        <v>2567</v>
      </c>
      <c r="C831" s="2" t="s">
        <v>880</v>
      </c>
      <c r="D831" s="3" t="s">
        <v>1877</v>
      </c>
      <c r="E831" t="s">
        <v>21</v>
      </c>
      <c r="F831" s="2" t="str">
        <f t="shared" si="141"/>
        <v>205</v>
      </c>
      <c r="G831" s="2" t="str">
        <f t="shared" si="142"/>
        <v>92</v>
      </c>
      <c r="H831" s="2" t="str">
        <f t="shared" si="143"/>
        <v>92</v>
      </c>
      <c r="I831" s="84"/>
    </row>
    <row r="832" spans="1:12" x14ac:dyDescent="0.25">
      <c r="A832" t="s">
        <v>879</v>
      </c>
      <c r="B832" t="s">
        <v>2567</v>
      </c>
      <c r="C832" s="2" t="s">
        <v>880</v>
      </c>
      <c r="D832" s="3" t="s">
        <v>1877</v>
      </c>
      <c r="E832" t="s">
        <v>21</v>
      </c>
      <c r="F832" s="2" t="str">
        <f t="shared" si="141"/>
        <v>205</v>
      </c>
      <c r="G832" s="2" t="str">
        <f t="shared" si="142"/>
        <v>92</v>
      </c>
      <c r="H832" s="2" t="str">
        <f t="shared" si="143"/>
        <v>92</v>
      </c>
      <c r="I832" s="84"/>
    </row>
    <row r="833" spans="1:12" x14ac:dyDescent="0.25">
      <c r="A833" t="s">
        <v>875</v>
      </c>
      <c r="B833" t="s">
        <v>2567</v>
      </c>
      <c r="C833" s="2" t="s">
        <v>876</v>
      </c>
      <c r="D833" s="3" t="s">
        <v>1875</v>
      </c>
      <c r="E833" t="s">
        <v>21</v>
      </c>
      <c r="F833" s="2" t="str">
        <f t="shared" si="141"/>
        <v>205</v>
      </c>
      <c r="G833" s="2" t="str">
        <f t="shared" si="142"/>
        <v>96</v>
      </c>
      <c r="H833" s="2" t="str">
        <f t="shared" si="143"/>
        <v>144</v>
      </c>
      <c r="I833" s="657"/>
    </row>
    <row r="834" spans="1:12" x14ac:dyDescent="0.25">
      <c r="A834" t="s">
        <v>1505</v>
      </c>
      <c r="B834" t="s">
        <v>2567</v>
      </c>
      <c r="C834" s="2" t="s">
        <v>2689</v>
      </c>
      <c r="D834" s="3" t="s">
        <v>2228</v>
      </c>
      <c r="E834" t="s">
        <v>21</v>
      </c>
      <c r="F834" s="5">
        <v>207</v>
      </c>
      <c r="G834" s="5">
        <v>33</v>
      </c>
      <c r="H834" s="5">
        <v>41</v>
      </c>
      <c r="I834" s="527"/>
      <c r="L834" s="7"/>
    </row>
    <row r="835" spans="1:12" x14ac:dyDescent="0.25">
      <c r="A835" t="s">
        <v>929</v>
      </c>
      <c r="B835" t="s">
        <v>2567</v>
      </c>
      <c r="C835" s="2" t="s">
        <v>930</v>
      </c>
      <c r="D835" s="3" t="s">
        <v>1888</v>
      </c>
      <c r="E835" t="s">
        <v>21</v>
      </c>
      <c r="F835" s="2" t="str">
        <f>LEFT(D835,FIND(",",D835)-1)</f>
        <v>208</v>
      </c>
      <c r="G835" s="2" t="str">
        <f>MID(D835,FIND(",",D835)+1,FIND(",",D835,FIND(",",D835)+1)-FIND(",",D835)-1)</f>
        <v>32</v>
      </c>
      <c r="H835" s="2" t="str">
        <f>RIGHT(D835,LEN(D835)-FIND(",",D835,FIND(",",D835)+1))</f>
        <v>144</v>
      </c>
      <c r="I835" s="489"/>
    </row>
    <row r="836" spans="1:12" x14ac:dyDescent="0.25">
      <c r="A836" t="s">
        <v>959</v>
      </c>
      <c r="B836" t="s">
        <v>2567</v>
      </c>
      <c r="C836" s="2" t="s">
        <v>755</v>
      </c>
      <c r="D836" s="3" t="s">
        <v>2491</v>
      </c>
      <c r="E836" t="s">
        <v>21</v>
      </c>
      <c r="F836" s="2" t="str">
        <f>LEFT(D836,FIND(",",D836)-1)</f>
        <v>209</v>
      </c>
      <c r="G836" s="2" t="str">
        <f>MID(D836,FIND(",",D836)+1,FIND(",",D836,FIND(",",D836)+1)-FIND(",",D836)-1)</f>
        <v>146</v>
      </c>
      <c r="H836" s="2" t="str">
        <f>RIGHT(D836,LEN(D836)-FIND(",",D836,FIND(",",D836)+1))</f>
        <v>117</v>
      </c>
      <c r="I836" s="595"/>
    </row>
    <row r="837" spans="1:12" x14ac:dyDescent="0.25">
      <c r="A837" t="s">
        <v>1990</v>
      </c>
      <c r="B837" t="s">
        <v>2567</v>
      </c>
      <c r="C837" s="2" t="s">
        <v>2690</v>
      </c>
      <c r="D837" s="3" t="s">
        <v>2106</v>
      </c>
      <c r="E837" t="s">
        <v>21</v>
      </c>
      <c r="F837" s="5">
        <v>214</v>
      </c>
      <c r="G837" s="5">
        <v>0</v>
      </c>
      <c r="H837" s="5">
        <v>64</v>
      </c>
      <c r="I837" s="809"/>
      <c r="L837" s="7"/>
    </row>
    <row r="838" spans="1:12" x14ac:dyDescent="0.25">
      <c r="A838" t="s">
        <v>1462</v>
      </c>
      <c r="B838" t="s">
        <v>2567</v>
      </c>
      <c r="C838" s="2" t="s">
        <v>2691</v>
      </c>
      <c r="D838" s="3" t="s">
        <v>2190</v>
      </c>
      <c r="E838" t="s">
        <v>21</v>
      </c>
      <c r="F838" s="5">
        <v>217</v>
      </c>
      <c r="G838" s="5">
        <v>51</v>
      </c>
      <c r="H838" s="5">
        <v>135</v>
      </c>
      <c r="I838" s="752"/>
      <c r="L838" s="7"/>
    </row>
    <row r="839" spans="1:12" x14ac:dyDescent="0.25">
      <c r="A839" t="s">
        <v>919</v>
      </c>
      <c r="B839" t="s">
        <v>2567</v>
      </c>
      <c r="C839" s="2" t="s">
        <v>920</v>
      </c>
      <c r="D839" s="3" t="s">
        <v>1577</v>
      </c>
      <c r="E839" t="s">
        <v>21</v>
      </c>
      <c r="F839" s="2" t="str">
        <f>LEFT(D839,FIND(",",D839)-1)</f>
        <v>219</v>
      </c>
      <c r="G839" s="2" t="str">
        <f>MID(D839,FIND(",",D839)+1,FIND(",",D839,FIND(",",D839)+1)-FIND(",",D839)-1)</f>
        <v xml:space="preserve"> 112</v>
      </c>
      <c r="H839" s="2" t="str">
        <f>RIGHT(D839,LEN(D839)-FIND(",",D839,FIND(",",D839)+1))</f>
        <v xml:space="preserve"> 147</v>
      </c>
      <c r="I839" s="98"/>
    </row>
    <row r="840" spans="1:12" x14ac:dyDescent="0.25">
      <c r="A840" t="s">
        <v>919</v>
      </c>
      <c r="B840" t="s">
        <v>2567</v>
      </c>
      <c r="C840" s="2" t="s">
        <v>920</v>
      </c>
      <c r="D840" s="3" t="s">
        <v>2308</v>
      </c>
      <c r="E840" t="s">
        <v>21</v>
      </c>
      <c r="F840" s="2" t="str">
        <f>LEFT(D840,FIND(",",D840)-1)</f>
        <v>219</v>
      </c>
      <c r="G840" s="2" t="str">
        <f>MID(D840,FIND(",",D840)+1,FIND(",",D840,FIND(",",D840)+1)-FIND(",",D840)-1)</f>
        <v>112</v>
      </c>
      <c r="H840" s="2" t="str">
        <f>RIGHT(D840,LEN(D840)-FIND(",",D840,FIND(",",D840)+1))</f>
        <v>147</v>
      </c>
      <c r="I840" s="98"/>
    </row>
    <row r="841" spans="1:12" x14ac:dyDescent="0.25">
      <c r="A841" t="s">
        <v>1432</v>
      </c>
      <c r="B841" t="s">
        <v>2567</v>
      </c>
      <c r="C841" s="2" t="s">
        <v>2692</v>
      </c>
      <c r="D841" s="3" t="s">
        <v>2159</v>
      </c>
      <c r="E841" t="s">
        <v>21</v>
      </c>
      <c r="F841" s="5">
        <v>219</v>
      </c>
      <c r="G841" s="5">
        <v>20</v>
      </c>
      <c r="H841" s="5">
        <v>61</v>
      </c>
      <c r="I841" s="815"/>
      <c r="L841" s="7"/>
    </row>
    <row r="842" spans="1:12" x14ac:dyDescent="0.25">
      <c r="A842" t="s">
        <v>1295</v>
      </c>
      <c r="B842" t="s">
        <v>2567</v>
      </c>
      <c r="C842" s="2" t="s">
        <v>2693</v>
      </c>
      <c r="D842" s="3" t="s">
        <v>2008</v>
      </c>
      <c r="E842" t="s">
        <v>21</v>
      </c>
      <c r="F842" s="5">
        <v>219</v>
      </c>
      <c r="G842" s="5">
        <v>46</v>
      </c>
      <c r="H842" s="5">
        <v>66</v>
      </c>
      <c r="I842" s="732"/>
      <c r="L842" s="7"/>
    </row>
    <row r="843" spans="1:12" x14ac:dyDescent="0.25">
      <c r="A843" t="s">
        <v>1432</v>
      </c>
      <c r="B843" t="s">
        <v>2567</v>
      </c>
      <c r="C843" s="2" t="s">
        <v>2692</v>
      </c>
      <c r="D843" s="3" t="s">
        <v>1567</v>
      </c>
      <c r="E843" t="s">
        <v>21</v>
      </c>
      <c r="F843" s="2" t="str">
        <f>LEFT(D843,FIND(",",D843)-1)</f>
        <v>220</v>
      </c>
      <c r="G843" s="2" t="str">
        <f>MID(D843,FIND(",",D843)+1,FIND(",",D843,FIND(",",D843)+1)-FIND(",",D843)-1)</f>
        <v xml:space="preserve"> 20</v>
      </c>
      <c r="H843" s="2" t="str">
        <f>RIGHT(D843,LEN(D843)-FIND(",",D843,FIND(",",D843)+1))</f>
        <v xml:space="preserve"> 60</v>
      </c>
      <c r="I843" s="381"/>
    </row>
    <row r="844" spans="1:12" x14ac:dyDescent="0.25">
      <c r="A844" t="s">
        <v>20</v>
      </c>
      <c r="B844" t="s">
        <v>2567</v>
      </c>
      <c r="C844" s="2" t="s">
        <v>2692</v>
      </c>
      <c r="D844" s="3" t="s">
        <v>1981</v>
      </c>
      <c r="E844" t="s">
        <v>21</v>
      </c>
      <c r="F844" s="2" t="str">
        <f>LEFT(D844,FIND(",",D844)-1)</f>
        <v>220</v>
      </c>
      <c r="G844" s="2" t="str">
        <f>MID(D844,FIND(",",D844)+1,FIND(",",D844,FIND(",",D844)+1)-FIND(",",D844)-1)</f>
        <v>20</v>
      </c>
      <c r="H844" s="2" t="str">
        <f>RIGHT(D844,LEN(D844)-FIND(",",D844,FIND(",",D844)+1))</f>
        <v>60</v>
      </c>
      <c r="I844" s="381"/>
    </row>
    <row r="845" spans="1:12" x14ac:dyDescent="0.25">
      <c r="A845" t="s">
        <v>1402</v>
      </c>
      <c r="B845" t="s">
        <v>2567</v>
      </c>
      <c r="C845" s="2" t="s">
        <v>2694</v>
      </c>
      <c r="D845" s="3" t="s">
        <v>2128</v>
      </c>
      <c r="E845" t="s">
        <v>21</v>
      </c>
      <c r="F845" s="5">
        <v>222</v>
      </c>
      <c r="G845" s="5">
        <v>112</v>
      </c>
      <c r="H845" s="5">
        <v>161</v>
      </c>
      <c r="I845" s="516"/>
      <c r="L845" s="7"/>
    </row>
    <row r="846" spans="1:12" x14ac:dyDescent="0.25">
      <c r="A846" t="s">
        <v>1378</v>
      </c>
      <c r="B846" t="s">
        <v>2567</v>
      </c>
      <c r="C846" s="2" t="s">
        <v>2695</v>
      </c>
      <c r="D846" s="3" t="s">
        <v>2102</v>
      </c>
      <c r="E846" t="s">
        <v>21</v>
      </c>
      <c r="F846" s="5">
        <v>227</v>
      </c>
      <c r="G846" s="5">
        <v>112</v>
      </c>
      <c r="H846" s="5">
        <v>122</v>
      </c>
      <c r="I846" s="299"/>
      <c r="L846" s="7"/>
    </row>
    <row r="847" spans="1:12" x14ac:dyDescent="0.25">
      <c r="A847" t="s">
        <v>1401</v>
      </c>
      <c r="B847" t="s">
        <v>2567</v>
      </c>
      <c r="C847" s="2" t="s">
        <v>2696</v>
      </c>
      <c r="D847" s="3" t="s">
        <v>2127</v>
      </c>
      <c r="E847" t="s">
        <v>21</v>
      </c>
      <c r="F847" s="5">
        <v>227</v>
      </c>
      <c r="G847" s="5">
        <v>61</v>
      </c>
      <c r="H847" s="5">
        <v>41</v>
      </c>
      <c r="I847" s="444"/>
      <c r="L847" s="7"/>
    </row>
    <row r="848" spans="1:12" x14ac:dyDescent="0.25">
      <c r="A848" t="s">
        <v>1407</v>
      </c>
      <c r="B848" t="s">
        <v>2567</v>
      </c>
      <c r="C848" s="2" t="s">
        <v>2697</v>
      </c>
      <c r="D848" s="3" t="s">
        <v>2135</v>
      </c>
      <c r="E848" t="s">
        <v>21</v>
      </c>
      <c r="F848" s="5">
        <v>227</v>
      </c>
      <c r="G848" s="5">
        <v>66</v>
      </c>
      <c r="H848" s="5">
        <v>51</v>
      </c>
      <c r="I848" s="365"/>
      <c r="L848" s="7"/>
    </row>
    <row r="849" spans="1:12" x14ac:dyDescent="0.25">
      <c r="A849" t="s">
        <v>1506</v>
      </c>
      <c r="B849" t="s">
        <v>2567</v>
      </c>
      <c r="C849" s="2" t="s">
        <v>2698</v>
      </c>
      <c r="D849" s="3" t="s">
        <v>2229</v>
      </c>
      <c r="E849" t="s">
        <v>21</v>
      </c>
      <c r="F849" s="5">
        <v>227</v>
      </c>
      <c r="G849" s="5">
        <v>89</v>
      </c>
      <c r="H849" s="5">
        <v>33</v>
      </c>
      <c r="I849" s="836"/>
      <c r="L849" s="7"/>
    </row>
    <row r="850" spans="1:12" x14ac:dyDescent="0.25">
      <c r="A850" t="s">
        <v>987</v>
      </c>
      <c r="B850" t="s">
        <v>2567</v>
      </c>
      <c r="C850" s="2" t="s">
        <v>988</v>
      </c>
      <c r="D850" s="3" t="s">
        <v>1911</v>
      </c>
      <c r="E850" t="s">
        <v>21</v>
      </c>
      <c r="F850" s="2" t="str">
        <f>LEFT(D850,FIND(",",D850)-1)</f>
        <v>227</v>
      </c>
      <c r="G850" s="2" t="str">
        <f>MID(D850,FIND(",",D850)+1,FIND(",",D850,FIND(",",D850)+1)-FIND(",",D850)-1)</f>
        <v>91</v>
      </c>
      <c r="H850" s="2" t="str">
        <f>RIGHT(D850,LEN(D850)-FIND(",",D850,FIND(",",D850)+1))</f>
        <v>216</v>
      </c>
      <c r="I850" s="271"/>
    </row>
    <row r="851" spans="1:12" x14ac:dyDescent="0.25">
      <c r="A851" t="s">
        <v>1398</v>
      </c>
      <c r="B851" t="s">
        <v>2567</v>
      </c>
      <c r="C851" s="2" t="s">
        <v>2699</v>
      </c>
      <c r="D851" s="3" t="s">
        <v>2123</v>
      </c>
      <c r="E851" t="s">
        <v>21</v>
      </c>
      <c r="F851" s="5">
        <v>230</v>
      </c>
      <c r="G851" s="5">
        <v>143</v>
      </c>
      <c r="H851" s="5">
        <v>171</v>
      </c>
      <c r="I851" s="745"/>
      <c r="L851" s="7"/>
    </row>
    <row r="852" spans="1:12" x14ac:dyDescent="0.25">
      <c r="A852" t="s">
        <v>1452</v>
      </c>
      <c r="B852" t="s">
        <v>2567</v>
      </c>
      <c r="C852" s="2" t="s">
        <v>783</v>
      </c>
      <c r="D852" s="3" t="s">
        <v>2181</v>
      </c>
      <c r="E852" t="s">
        <v>21</v>
      </c>
      <c r="F852" s="5">
        <v>232</v>
      </c>
      <c r="G852" s="5">
        <v>150</v>
      </c>
      <c r="H852" s="5">
        <v>122</v>
      </c>
      <c r="I852" s="629"/>
      <c r="L852" s="7"/>
    </row>
    <row r="853" spans="1:12" x14ac:dyDescent="0.25">
      <c r="A853" t="s">
        <v>782</v>
      </c>
      <c r="B853" t="s">
        <v>2567</v>
      </c>
      <c r="C853" s="2" t="s">
        <v>783</v>
      </c>
      <c r="D853" s="3" t="s">
        <v>1565</v>
      </c>
      <c r="E853" t="s">
        <v>21</v>
      </c>
      <c r="F853" s="2" t="str">
        <f t="shared" ref="F853:F868" si="144">LEFT(D853,FIND(",",D853)-1)</f>
        <v>233</v>
      </c>
      <c r="G853" s="2" t="str">
        <f t="shared" ref="G853:G868" si="145">MID(D853,FIND(",",D853)+1,FIND(",",D853,FIND(",",D853)+1)-FIND(",",D853)-1)</f>
        <v xml:space="preserve"> 150</v>
      </c>
      <c r="H853" s="2" t="str">
        <f t="shared" ref="H853:H868" si="146">RIGHT(D853,LEN(D853)-FIND(",",D853,FIND(",",D853)+1))</f>
        <v xml:space="preserve"> 122</v>
      </c>
      <c r="I853" s="211"/>
    </row>
    <row r="854" spans="1:12" x14ac:dyDescent="0.25">
      <c r="A854" t="s">
        <v>26</v>
      </c>
      <c r="B854" t="s">
        <v>2567</v>
      </c>
      <c r="C854" s="2" t="s">
        <v>783</v>
      </c>
      <c r="D854" s="3" t="s">
        <v>2277</v>
      </c>
      <c r="E854" t="s">
        <v>21</v>
      </c>
      <c r="F854" s="2" t="str">
        <f t="shared" si="144"/>
        <v>233</v>
      </c>
      <c r="G854" s="2" t="str">
        <f t="shared" si="145"/>
        <v>150</v>
      </c>
      <c r="H854" s="2" t="str">
        <f t="shared" si="146"/>
        <v>122</v>
      </c>
      <c r="I854" s="211"/>
    </row>
    <row r="855" spans="1:12" x14ac:dyDescent="0.25">
      <c r="A855" t="s">
        <v>963</v>
      </c>
      <c r="B855" t="s">
        <v>2567</v>
      </c>
      <c r="C855" s="2" t="s">
        <v>964</v>
      </c>
      <c r="D855" s="3" t="s">
        <v>1901</v>
      </c>
      <c r="E855" t="s">
        <v>21</v>
      </c>
      <c r="F855" s="2" t="str">
        <f t="shared" si="144"/>
        <v>238</v>
      </c>
      <c r="G855" s="2" t="str">
        <f t="shared" si="145"/>
        <v>0</v>
      </c>
      <c r="H855" s="2" t="str">
        <f t="shared" si="146"/>
        <v>0</v>
      </c>
      <c r="I855" s="415"/>
    </row>
    <row r="856" spans="1:12" x14ac:dyDescent="0.25">
      <c r="A856" t="s">
        <v>873</v>
      </c>
      <c r="B856" t="s">
        <v>2567</v>
      </c>
      <c r="C856" s="2" t="s">
        <v>874</v>
      </c>
      <c r="D856" s="3" t="s">
        <v>2506</v>
      </c>
      <c r="E856" t="s">
        <v>21</v>
      </c>
      <c r="F856" s="2" t="str">
        <f t="shared" si="144"/>
        <v>238</v>
      </c>
      <c r="G856" s="2" t="str">
        <f t="shared" si="145"/>
        <v>106</v>
      </c>
      <c r="H856" s="2" t="str">
        <f t="shared" si="146"/>
        <v>167</v>
      </c>
      <c r="I856" s="266"/>
    </row>
    <row r="857" spans="1:12" x14ac:dyDescent="0.25">
      <c r="A857" t="s">
        <v>923</v>
      </c>
      <c r="B857" t="s">
        <v>2567</v>
      </c>
      <c r="C857" s="2" t="s">
        <v>924</v>
      </c>
      <c r="D857" s="3" t="s">
        <v>2515</v>
      </c>
      <c r="E857" t="s">
        <v>21</v>
      </c>
      <c r="F857" s="2" t="str">
        <f t="shared" si="144"/>
        <v>238</v>
      </c>
      <c r="G857" s="2" t="str">
        <f t="shared" si="145"/>
        <v>121</v>
      </c>
      <c r="H857" s="2" t="str">
        <f t="shared" si="146"/>
        <v>159</v>
      </c>
      <c r="I857" s="336"/>
    </row>
    <row r="858" spans="1:12" x14ac:dyDescent="0.25">
      <c r="A858" t="s">
        <v>893</v>
      </c>
      <c r="B858" t="s">
        <v>2567</v>
      </c>
      <c r="C858" s="2" t="s">
        <v>894</v>
      </c>
      <c r="D858" s="3" t="s">
        <v>2509</v>
      </c>
      <c r="E858" t="s">
        <v>21</v>
      </c>
      <c r="F858" s="2" t="str">
        <f t="shared" si="144"/>
        <v>238</v>
      </c>
      <c r="G858" s="2" t="str">
        <f t="shared" si="145"/>
        <v>162</v>
      </c>
      <c r="H858" s="2" t="str">
        <f t="shared" si="146"/>
        <v>173</v>
      </c>
      <c r="I858" s="600"/>
    </row>
    <row r="859" spans="1:12" x14ac:dyDescent="0.25">
      <c r="A859" t="s">
        <v>951</v>
      </c>
      <c r="B859" t="s">
        <v>2567</v>
      </c>
      <c r="C859" s="2" t="s">
        <v>952</v>
      </c>
      <c r="D859" s="3" t="s">
        <v>2518</v>
      </c>
      <c r="E859" t="s">
        <v>21</v>
      </c>
      <c r="F859" s="2" t="str">
        <f t="shared" si="144"/>
        <v>238</v>
      </c>
      <c r="G859" s="2" t="str">
        <f t="shared" si="145"/>
        <v>169</v>
      </c>
      <c r="H859" s="2" t="str">
        <f t="shared" si="146"/>
        <v>184</v>
      </c>
      <c r="I859" s="554"/>
    </row>
    <row r="860" spans="1:12" x14ac:dyDescent="0.25">
      <c r="A860" t="s">
        <v>863</v>
      </c>
      <c r="B860" t="s">
        <v>2567</v>
      </c>
      <c r="C860" s="2" t="s">
        <v>864</v>
      </c>
      <c r="D860" s="3" t="s">
        <v>1872</v>
      </c>
      <c r="E860" t="s">
        <v>21</v>
      </c>
      <c r="F860" s="2" t="str">
        <f t="shared" si="144"/>
        <v>238</v>
      </c>
      <c r="G860" s="2" t="str">
        <f t="shared" si="145"/>
        <v>18</v>
      </c>
      <c r="H860" s="2" t="str">
        <f t="shared" si="146"/>
        <v>137</v>
      </c>
      <c r="I860" s="83"/>
    </row>
    <row r="861" spans="1:12" x14ac:dyDescent="0.25">
      <c r="A861" t="s">
        <v>904</v>
      </c>
      <c r="B861" t="s">
        <v>2567</v>
      </c>
      <c r="C861" s="2" t="s">
        <v>905</v>
      </c>
      <c r="D861" s="3" t="s">
        <v>2511</v>
      </c>
      <c r="E861" t="s">
        <v>21</v>
      </c>
      <c r="F861" s="2" t="str">
        <f t="shared" si="144"/>
        <v>238</v>
      </c>
      <c r="G861" s="2" t="str">
        <f t="shared" si="145"/>
        <v>213</v>
      </c>
      <c r="H861" s="2" t="str">
        <f t="shared" si="146"/>
        <v>210</v>
      </c>
      <c r="I861" s="267"/>
    </row>
    <row r="862" spans="1:12" x14ac:dyDescent="0.25">
      <c r="A862" t="s">
        <v>942</v>
      </c>
      <c r="B862" t="s">
        <v>2567</v>
      </c>
      <c r="C862" s="2" t="s">
        <v>943</v>
      </c>
      <c r="D862" s="3" t="s">
        <v>1895</v>
      </c>
      <c r="E862" t="s">
        <v>21</v>
      </c>
      <c r="F862" s="2" t="str">
        <f t="shared" si="144"/>
        <v>238</v>
      </c>
      <c r="G862" s="2" t="str">
        <f t="shared" si="145"/>
        <v>44</v>
      </c>
      <c r="H862" s="2" t="str">
        <f t="shared" si="146"/>
        <v>44</v>
      </c>
      <c r="I862" s="786"/>
    </row>
    <row r="863" spans="1:12" x14ac:dyDescent="0.25">
      <c r="A863" t="s">
        <v>933</v>
      </c>
      <c r="B863" t="s">
        <v>2567</v>
      </c>
      <c r="C863" s="2" t="s">
        <v>934</v>
      </c>
      <c r="D863" s="3" t="s">
        <v>1890</v>
      </c>
      <c r="E863" t="s">
        <v>21</v>
      </c>
      <c r="F863" s="2" t="str">
        <f t="shared" si="144"/>
        <v>238</v>
      </c>
      <c r="G863" s="2" t="str">
        <f t="shared" si="145"/>
        <v>58</v>
      </c>
      <c r="H863" s="2" t="str">
        <f t="shared" si="146"/>
        <v>140</v>
      </c>
      <c r="I863" s="602"/>
    </row>
    <row r="864" spans="1:12" x14ac:dyDescent="0.25">
      <c r="A864" t="s">
        <v>913</v>
      </c>
      <c r="B864" t="s">
        <v>2567</v>
      </c>
      <c r="C864" s="2" t="s">
        <v>914</v>
      </c>
      <c r="D864" s="3" t="s">
        <v>1884</v>
      </c>
      <c r="E864" t="s">
        <v>21</v>
      </c>
      <c r="F864" s="2" t="str">
        <f t="shared" si="144"/>
        <v>238</v>
      </c>
      <c r="G864" s="2" t="str">
        <f t="shared" si="145"/>
        <v>64</v>
      </c>
      <c r="H864" s="2" t="str">
        <f t="shared" si="146"/>
        <v>0</v>
      </c>
      <c r="I864" s="601"/>
    </row>
    <row r="865" spans="1:12" x14ac:dyDescent="0.25">
      <c r="A865" t="s">
        <v>971</v>
      </c>
      <c r="B865" t="s">
        <v>2567</v>
      </c>
      <c r="C865" s="2" t="s">
        <v>972</v>
      </c>
      <c r="D865" s="3" t="s">
        <v>1905</v>
      </c>
      <c r="E865" t="s">
        <v>21</v>
      </c>
      <c r="F865" s="2" t="str">
        <f t="shared" si="144"/>
        <v>238</v>
      </c>
      <c r="G865" s="2" t="str">
        <f t="shared" si="145"/>
        <v>92</v>
      </c>
      <c r="H865" s="2" t="str">
        <f t="shared" si="146"/>
        <v>66</v>
      </c>
      <c r="I865" s="661"/>
    </row>
    <row r="866" spans="1:12" x14ac:dyDescent="0.25">
      <c r="A866" t="s">
        <v>883</v>
      </c>
      <c r="B866" t="s">
        <v>2567</v>
      </c>
      <c r="C866" s="2" t="s">
        <v>884</v>
      </c>
      <c r="D866" s="3" t="s">
        <v>1878</v>
      </c>
      <c r="E866" t="s">
        <v>21</v>
      </c>
      <c r="F866" s="2" t="str">
        <f t="shared" si="144"/>
        <v>238</v>
      </c>
      <c r="G866" s="2" t="str">
        <f t="shared" si="145"/>
        <v>99</v>
      </c>
      <c r="H866" s="2" t="str">
        <f t="shared" si="146"/>
        <v>99</v>
      </c>
      <c r="I866" s="335"/>
    </row>
    <row r="867" spans="1:12" x14ac:dyDescent="0.25">
      <c r="A867" t="s">
        <v>784</v>
      </c>
      <c r="B867" t="s">
        <v>2567</v>
      </c>
      <c r="C867" s="2" t="s">
        <v>785</v>
      </c>
      <c r="D867" s="3" t="s">
        <v>1563</v>
      </c>
      <c r="E867" t="s">
        <v>21</v>
      </c>
      <c r="F867" s="2" t="str">
        <f t="shared" si="144"/>
        <v>240</v>
      </c>
      <c r="G867" s="2" t="str">
        <f t="shared" si="145"/>
        <v xml:space="preserve"> 128</v>
      </c>
      <c r="H867" s="2" t="str">
        <f t="shared" si="146"/>
        <v xml:space="preserve"> 128</v>
      </c>
      <c r="I867" s="180"/>
    </row>
    <row r="868" spans="1:12" x14ac:dyDescent="0.25">
      <c r="A868" t="s">
        <v>25</v>
      </c>
      <c r="B868" t="s">
        <v>2567</v>
      </c>
      <c r="C868" s="2" t="s">
        <v>785</v>
      </c>
      <c r="D868" s="3" t="s">
        <v>2276</v>
      </c>
      <c r="E868" t="s">
        <v>21</v>
      </c>
      <c r="F868" s="2" t="str">
        <f t="shared" si="144"/>
        <v>240</v>
      </c>
      <c r="G868" s="2" t="str">
        <f t="shared" si="145"/>
        <v>128</v>
      </c>
      <c r="H868" s="2" t="str">
        <f t="shared" si="146"/>
        <v>128</v>
      </c>
      <c r="I868" s="180"/>
    </row>
    <row r="869" spans="1:12" x14ac:dyDescent="0.25">
      <c r="A869" t="s">
        <v>1375</v>
      </c>
      <c r="B869" t="s">
        <v>2567</v>
      </c>
      <c r="C869" s="2" t="s">
        <v>2700</v>
      </c>
      <c r="D869" s="3" t="s">
        <v>2099</v>
      </c>
      <c r="E869" t="s">
        <v>21</v>
      </c>
      <c r="F869" s="5">
        <v>240</v>
      </c>
      <c r="G869" s="5">
        <v>186</v>
      </c>
      <c r="H869" s="5">
        <v>204</v>
      </c>
      <c r="I869" s="361"/>
      <c r="L869" s="7"/>
    </row>
    <row r="870" spans="1:12" x14ac:dyDescent="0.25">
      <c r="A870" t="s">
        <v>1437</v>
      </c>
      <c r="B870" t="s">
        <v>2567</v>
      </c>
      <c r="C870" s="2" t="s">
        <v>2701</v>
      </c>
      <c r="D870" s="3" t="s">
        <v>2165</v>
      </c>
      <c r="E870" t="s">
        <v>21</v>
      </c>
      <c r="F870" s="5">
        <v>245</v>
      </c>
      <c r="G870" s="5">
        <v>112</v>
      </c>
      <c r="H870" s="5">
        <v>161</v>
      </c>
      <c r="I870" s="691"/>
      <c r="L870" s="7"/>
    </row>
    <row r="871" spans="1:12" x14ac:dyDescent="0.25">
      <c r="A871" t="s">
        <v>957</v>
      </c>
      <c r="B871" t="s">
        <v>2567</v>
      </c>
      <c r="C871" s="2" t="s">
        <v>958</v>
      </c>
      <c r="D871" s="3" t="s">
        <v>2520</v>
      </c>
      <c r="E871" t="s">
        <v>21</v>
      </c>
      <c r="F871" s="2" t="str">
        <f>LEFT(D871,FIND(",",D871)-1)</f>
        <v>245</v>
      </c>
      <c r="G871" s="2" t="str">
        <f>MID(D871,FIND(",",D871)+1,FIND(",",D871,FIND(",",D871)+1)-FIND(",",D871)-1)</f>
        <v>204</v>
      </c>
      <c r="H871" s="2" t="str">
        <f>RIGHT(D871,LEN(D871)-FIND(",",D871,FIND(",",D871)+1))</f>
        <v>176</v>
      </c>
      <c r="I871" s="90"/>
    </row>
    <row r="872" spans="1:12" x14ac:dyDescent="0.25">
      <c r="A872" t="s">
        <v>979</v>
      </c>
      <c r="B872" t="s">
        <v>2567</v>
      </c>
      <c r="C872" s="2" t="s">
        <v>958</v>
      </c>
      <c r="D872" s="3" t="s">
        <v>2520</v>
      </c>
      <c r="E872" t="s">
        <v>21</v>
      </c>
      <c r="F872" s="2" t="str">
        <f>LEFT(D872,FIND(",",D872)-1)</f>
        <v>245</v>
      </c>
      <c r="G872" s="2" t="str">
        <f>MID(D872,FIND(",",D872)+1,FIND(",",D872,FIND(",",D872)+1)-FIND(",",D872)-1)</f>
        <v>204</v>
      </c>
      <c r="H872" s="2" t="str">
        <f>RIGHT(D872,LEN(D872)-FIND(",",D872,FIND(",",D872)+1))</f>
        <v>176</v>
      </c>
      <c r="I872" s="90"/>
    </row>
    <row r="873" spans="1:12" x14ac:dyDescent="0.25">
      <c r="A873" t="s">
        <v>1414</v>
      </c>
      <c r="B873" t="s">
        <v>2567</v>
      </c>
      <c r="C873" s="2" t="s">
        <v>2702</v>
      </c>
      <c r="D873" s="3" t="s">
        <v>2142</v>
      </c>
      <c r="E873" t="s">
        <v>21</v>
      </c>
      <c r="F873" s="5">
        <v>247</v>
      </c>
      <c r="G873" s="5">
        <v>130</v>
      </c>
      <c r="H873" s="5">
        <v>120</v>
      </c>
      <c r="I873" s="747"/>
      <c r="L873" s="7"/>
    </row>
    <row r="874" spans="1:12" x14ac:dyDescent="0.25">
      <c r="A874" t="s">
        <v>1422</v>
      </c>
      <c r="B874" t="s">
        <v>2567</v>
      </c>
      <c r="C874" s="2" t="s">
        <v>2702</v>
      </c>
      <c r="D874" s="3" t="s">
        <v>2142</v>
      </c>
      <c r="E874" t="s">
        <v>21</v>
      </c>
      <c r="F874" s="5">
        <v>247</v>
      </c>
      <c r="G874" s="5">
        <v>130</v>
      </c>
      <c r="H874" s="5">
        <v>120</v>
      </c>
      <c r="I874" s="747"/>
      <c r="L874" s="7"/>
    </row>
    <row r="875" spans="1:12" x14ac:dyDescent="0.25">
      <c r="A875" t="s">
        <v>981</v>
      </c>
      <c r="B875" t="s">
        <v>2567</v>
      </c>
      <c r="C875" s="2" t="s">
        <v>837</v>
      </c>
      <c r="D875" s="3" t="s">
        <v>1564</v>
      </c>
      <c r="E875" t="s">
        <v>21</v>
      </c>
      <c r="F875" s="2" t="str">
        <f>LEFT(D875,FIND(",",D875)-1)</f>
        <v>250</v>
      </c>
      <c r="G875" s="2" t="str">
        <f>MID(D875,FIND(",",D875)+1,FIND(",",D875,FIND(",",D875)+1)-FIND(",",D875)-1)</f>
        <v xml:space="preserve"> 128</v>
      </c>
      <c r="H875" s="2" t="str">
        <f>RIGHT(D875,LEN(D875)-FIND(",",D875,FIND(",",D875)+1))</f>
        <v xml:space="preserve"> 114</v>
      </c>
      <c r="I875" s="460"/>
    </row>
    <row r="876" spans="1:12" x14ac:dyDescent="0.25">
      <c r="A876" t="s">
        <v>27</v>
      </c>
      <c r="B876" t="s">
        <v>2567</v>
      </c>
      <c r="C876" s="2" t="s">
        <v>837</v>
      </c>
      <c r="D876" s="3" t="s">
        <v>2278</v>
      </c>
      <c r="E876" t="s">
        <v>21</v>
      </c>
      <c r="F876" s="2" t="str">
        <f>LEFT(D876,FIND(",",D876)-1)</f>
        <v>250</v>
      </c>
      <c r="G876" s="2" t="str">
        <f>MID(D876,FIND(",",D876)+1,FIND(",",D876,FIND(",",D876)+1)-FIND(",",D876)-1)</f>
        <v>128</v>
      </c>
      <c r="H876" s="2" t="str">
        <f>RIGHT(D876,LEN(D876)-FIND(",",D876,FIND(",",D876)+1))</f>
        <v>114</v>
      </c>
      <c r="I876" s="460"/>
    </row>
    <row r="877" spans="1:12" x14ac:dyDescent="0.25">
      <c r="A877" t="s">
        <v>1517</v>
      </c>
      <c r="B877" t="s">
        <v>2567</v>
      </c>
      <c r="C877" s="2" t="s">
        <v>2703</v>
      </c>
      <c r="D877" s="3" t="s">
        <v>2240</v>
      </c>
      <c r="E877" t="s">
        <v>21</v>
      </c>
      <c r="F877" s="5">
        <v>252</v>
      </c>
      <c r="G877" s="5">
        <v>107</v>
      </c>
      <c r="H877" s="5">
        <v>158</v>
      </c>
      <c r="I877" s="765"/>
      <c r="L877" s="7"/>
    </row>
    <row r="878" spans="1:12" x14ac:dyDescent="0.25">
      <c r="A878" t="s">
        <v>1513</v>
      </c>
      <c r="B878" t="s">
        <v>2567</v>
      </c>
      <c r="C878" s="2" t="s">
        <v>2704</v>
      </c>
      <c r="D878" s="3" t="s">
        <v>2236</v>
      </c>
      <c r="E878" t="s">
        <v>21</v>
      </c>
      <c r="F878" s="5">
        <v>252</v>
      </c>
      <c r="G878" s="5">
        <v>64</v>
      </c>
      <c r="H878" s="5">
        <v>145</v>
      </c>
      <c r="I878" s="841"/>
      <c r="L878" s="7"/>
    </row>
    <row r="879" spans="1:12" x14ac:dyDescent="0.25">
      <c r="A879" t="s">
        <v>2</v>
      </c>
      <c r="B879" t="s">
        <v>2567</v>
      </c>
      <c r="C879" s="2" t="s">
        <v>961</v>
      </c>
      <c r="D879" s="3" t="s">
        <v>1568</v>
      </c>
      <c r="E879" t="s">
        <v>21</v>
      </c>
      <c r="F879" s="2" t="str">
        <f t="shared" ref="F879:F892" si="147">LEFT(D879,FIND(",",D879)-1)</f>
        <v>255</v>
      </c>
      <c r="G879" s="2" t="str">
        <f t="shared" ref="G879:G892" si="148">MID(D879,FIND(",",D879)+1,FIND(",",D879,FIND(",",D879)+1)-FIND(",",D879)-1)</f>
        <v xml:space="preserve"> 0</v>
      </c>
      <c r="H879" s="2" t="str">
        <f t="shared" ref="H879:H892" si="149">RIGHT(D879,LEN(D879)-FIND(",",D879,FIND(",",D879)+1))</f>
        <v xml:space="preserve"> 0</v>
      </c>
      <c r="I879" s="19"/>
    </row>
    <row r="880" spans="1:12" x14ac:dyDescent="0.25">
      <c r="A880" t="s">
        <v>869</v>
      </c>
      <c r="B880" t="s">
        <v>2567</v>
      </c>
      <c r="C880" s="2" t="s">
        <v>870</v>
      </c>
      <c r="D880" s="3" t="s">
        <v>1574</v>
      </c>
      <c r="E880" t="s">
        <v>21</v>
      </c>
      <c r="F880" s="2" t="str">
        <f t="shared" si="147"/>
        <v>255</v>
      </c>
      <c r="G880" s="2" t="str">
        <f t="shared" si="148"/>
        <v xml:space="preserve"> 105</v>
      </c>
      <c r="H880" s="2" t="str">
        <f t="shared" si="149"/>
        <v xml:space="preserve"> 180</v>
      </c>
      <c r="I880" s="187"/>
    </row>
    <row r="881" spans="1:12" x14ac:dyDescent="0.25">
      <c r="A881" t="s">
        <v>786</v>
      </c>
      <c r="B881" t="s">
        <v>2567</v>
      </c>
      <c r="C881" s="2" t="s">
        <v>787</v>
      </c>
      <c r="D881" s="3" t="s">
        <v>1566</v>
      </c>
      <c r="E881" t="s">
        <v>21</v>
      </c>
      <c r="F881" s="2" t="str">
        <f t="shared" si="147"/>
        <v>255</v>
      </c>
      <c r="G881" s="2" t="str">
        <f t="shared" si="148"/>
        <v xml:space="preserve"> 160</v>
      </c>
      <c r="H881" s="2" t="str">
        <f t="shared" si="149"/>
        <v xml:space="preserve"> 122</v>
      </c>
      <c r="I881" s="77"/>
    </row>
    <row r="882" spans="1:12" x14ac:dyDescent="0.25">
      <c r="A882" t="s">
        <v>889</v>
      </c>
      <c r="B882" t="s">
        <v>2567</v>
      </c>
      <c r="C882" s="2" t="s">
        <v>890</v>
      </c>
      <c r="D882" s="3" t="s">
        <v>1573</v>
      </c>
      <c r="E882" t="s">
        <v>21</v>
      </c>
      <c r="F882" s="2" t="str">
        <f t="shared" si="147"/>
        <v>255</v>
      </c>
      <c r="G882" s="2" t="str">
        <f t="shared" si="148"/>
        <v xml:space="preserve"> 182</v>
      </c>
      <c r="H882" s="2" t="str">
        <f t="shared" si="149"/>
        <v xml:space="preserve"> 193</v>
      </c>
      <c r="I882" s="219"/>
    </row>
    <row r="883" spans="1:12" x14ac:dyDescent="0.25">
      <c r="A883" t="s">
        <v>980</v>
      </c>
      <c r="B883" t="s">
        <v>2567</v>
      </c>
      <c r="C883" s="2" t="s">
        <v>948</v>
      </c>
      <c r="D883" s="3" t="s">
        <v>1572</v>
      </c>
      <c r="E883" t="s">
        <v>21</v>
      </c>
      <c r="F883" s="2" t="str">
        <f t="shared" si="147"/>
        <v>255</v>
      </c>
      <c r="G883" s="2" t="str">
        <f t="shared" si="148"/>
        <v xml:space="preserve"> 192</v>
      </c>
      <c r="H883" s="2" t="str">
        <f t="shared" si="149"/>
        <v xml:space="preserve"> 203</v>
      </c>
      <c r="I883" s="490"/>
    </row>
    <row r="884" spans="1:12" x14ac:dyDescent="0.25">
      <c r="A884" t="s">
        <v>860</v>
      </c>
      <c r="B884" t="s">
        <v>2567</v>
      </c>
      <c r="C884" s="2" t="s">
        <v>861</v>
      </c>
      <c r="D884" s="3" t="s">
        <v>1575</v>
      </c>
      <c r="E884" t="s">
        <v>21</v>
      </c>
      <c r="F884" s="2" t="str">
        <f t="shared" si="147"/>
        <v>255</v>
      </c>
      <c r="G884" s="2" t="str">
        <f t="shared" si="148"/>
        <v xml:space="preserve"> 20</v>
      </c>
      <c r="H884" s="2" t="str">
        <f t="shared" si="149"/>
        <v xml:space="preserve"> 147</v>
      </c>
      <c r="I884" s="157"/>
    </row>
    <row r="885" spans="1:12" x14ac:dyDescent="0.25">
      <c r="A885" t="s">
        <v>2</v>
      </c>
      <c r="B885" t="s">
        <v>2567</v>
      </c>
      <c r="C885" s="2" t="s">
        <v>961</v>
      </c>
      <c r="D885" s="3" t="s">
        <v>1900</v>
      </c>
      <c r="E885" t="s">
        <v>21</v>
      </c>
      <c r="F885" s="2" t="str">
        <f t="shared" si="147"/>
        <v>255</v>
      </c>
      <c r="G885" s="2" t="str">
        <f t="shared" si="148"/>
        <v>0</v>
      </c>
      <c r="H885" s="2" t="str">
        <f t="shared" si="149"/>
        <v>0</v>
      </c>
      <c r="I885" s="19"/>
    </row>
    <row r="886" spans="1:12" x14ac:dyDescent="0.25">
      <c r="A886" t="s">
        <v>21</v>
      </c>
      <c r="B886" t="s">
        <v>2567</v>
      </c>
      <c r="C886" s="2" t="s">
        <v>961</v>
      </c>
      <c r="D886" s="3" t="s">
        <v>1900</v>
      </c>
      <c r="E886" t="s">
        <v>21</v>
      </c>
      <c r="F886" s="2" t="str">
        <f t="shared" si="147"/>
        <v>255</v>
      </c>
      <c r="G886" s="2" t="str">
        <f t="shared" si="148"/>
        <v>0</v>
      </c>
      <c r="H886" s="2" t="str">
        <f t="shared" si="149"/>
        <v>0</v>
      </c>
      <c r="I886" s="19"/>
    </row>
    <row r="887" spans="1:12" x14ac:dyDescent="0.25">
      <c r="A887" t="s">
        <v>21</v>
      </c>
      <c r="B887" t="s">
        <v>2567</v>
      </c>
      <c r="C887" s="2" t="s">
        <v>961</v>
      </c>
      <c r="D887" s="3" t="s">
        <v>1900</v>
      </c>
      <c r="E887" t="s">
        <v>21</v>
      </c>
      <c r="F887" s="2" t="str">
        <f t="shared" si="147"/>
        <v>255</v>
      </c>
      <c r="G887" s="2" t="str">
        <f t="shared" si="148"/>
        <v>0</v>
      </c>
      <c r="H887" s="2" t="str">
        <f t="shared" si="149"/>
        <v>0</v>
      </c>
      <c r="I887" s="19"/>
    </row>
    <row r="888" spans="1:12" x14ac:dyDescent="0.25">
      <c r="A888" t="s">
        <v>962</v>
      </c>
      <c r="B888" t="s">
        <v>2567</v>
      </c>
      <c r="C888" s="2" t="s">
        <v>961</v>
      </c>
      <c r="D888" s="3" t="s">
        <v>1900</v>
      </c>
      <c r="E888" t="s">
        <v>21</v>
      </c>
      <c r="F888" s="2" t="str">
        <f t="shared" si="147"/>
        <v>255</v>
      </c>
      <c r="G888" s="2" t="str">
        <f t="shared" si="148"/>
        <v>0</v>
      </c>
      <c r="H888" s="2" t="str">
        <f t="shared" si="149"/>
        <v>0</v>
      </c>
      <c r="I888" s="19"/>
    </row>
    <row r="889" spans="1:12" x14ac:dyDescent="0.25">
      <c r="A889" t="s">
        <v>869</v>
      </c>
      <c r="B889" t="s">
        <v>2567</v>
      </c>
      <c r="C889" s="2" t="s">
        <v>870</v>
      </c>
      <c r="D889" s="3" t="s">
        <v>2309</v>
      </c>
      <c r="E889" t="s">
        <v>21</v>
      </c>
      <c r="F889" s="2" t="str">
        <f t="shared" si="147"/>
        <v>255</v>
      </c>
      <c r="G889" s="2" t="str">
        <f t="shared" si="148"/>
        <v>105</v>
      </c>
      <c r="H889" s="2" t="str">
        <f t="shared" si="149"/>
        <v>180</v>
      </c>
      <c r="I889" s="187"/>
    </row>
    <row r="890" spans="1:12" x14ac:dyDescent="0.25">
      <c r="A890" t="s">
        <v>881</v>
      </c>
      <c r="B890" t="s">
        <v>2567</v>
      </c>
      <c r="C890" s="2" t="s">
        <v>882</v>
      </c>
      <c r="D890" s="3" t="s">
        <v>2507</v>
      </c>
      <c r="E890" t="s">
        <v>21</v>
      </c>
      <c r="F890" s="2" t="str">
        <f t="shared" si="147"/>
        <v>255</v>
      </c>
      <c r="G890" s="2" t="str">
        <f t="shared" si="148"/>
        <v>106</v>
      </c>
      <c r="H890" s="2" t="str">
        <f t="shared" si="149"/>
        <v>106</v>
      </c>
      <c r="I890" s="759"/>
    </row>
    <row r="891" spans="1:12" x14ac:dyDescent="0.25">
      <c r="A891" t="s">
        <v>871</v>
      </c>
      <c r="B891" t="s">
        <v>2567</v>
      </c>
      <c r="C891" s="2" t="s">
        <v>872</v>
      </c>
      <c r="D891" s="3" t="s">
        <v>2505</v>
      </c>
      <c r="E891" t="s">
        <v>21</v>
      </c>
      <c r="F891" s="2" t="str">
        <f t="shared" si="147"/>
        <v>255</v>
      </c>
      <c r="G891" s="2" t="str">
        <f t="shared" si="148"/>
        <v>110</v>
      </c>
      <c r="H891" s="2" t="str">
        <f t="shared" si="149"/>
        <v>180</v>
      </c>
      <c r="I891" s="599"/>
    </row>
    <row r="892" spans="1:12" x14ac:dyDescent="0.25">
      <c r="A892" t="s">
        <v>23</v>
      </c>
      <c r="B892" t="s">
        <v>2567</v>
      </c>
      <c r="C892" s="2" t="s">
        <v>812</v>
      </c>
      <c r="D892" s="3" t="s">
        <v>1853</v>
      </c>
      <c r="E892" t="s">
        <v>21</v>
      </c>
      <c r="F892" s="2" t="str">
        <f t="shared" si="147"/>
        <v>255</v>
      </c>
      <c r="G892" s="2" t="str">
        <f t="shared" si="148"/>
        <v>127</v>
      </c>
      <c r="H892" s="2" t="str">
        <f t="shared" si="149"/>
        <v>80</v>
      </c>
      <c r="I892" s="119"/>
    </row>
    <row r="893" spans="1:12" x14ac:dyDescent="0.25">
      <c r="A893" t="s">
        <v>1421</v>
      </c>
      <c r="B893" t="s">
        <v>2567</v>
      </c>
      <c r="C893" s="2" t="s">
        <v>812</v>
      </c>
      <c r="D893" s="3" t="s">
        <v>2149</v>
      </c>
      <c r="E893" t="s">
        <v>21</v>
      </c>
      <c r="F893" s="5">
        <v>255</v>
      </c>
      <c r="G893" s="5">
        <v>128</v>
      </c>
      <c r="H893" s="5">
        <v>79</v>
      </c>
      <c r="I893" s="689"/>
      <c r="L893" s="7"/>
    </row>
    <row r="894" spans="1:12" x14ac:dyDescent="0.25">
      <c r="A894" t="s">
        <v>921</v>
      </c>
      <c r="B894" t="s">
        <v>2567</v>
      </c>
      <c r="C894" s="2" t="s">
        <v>922</v>
      </c>
      <c r="D894" s="3" t="s">
        <v>2514</v>
      </c>
      <c r="E894" t="s">
        <v>21</v>
      </c>
      <c r="F894" s="2" t="str">
        <f>LEFT(D894,FIND(",",D894)-1)</f>
        <v>255</v>
      </c>
      <c r="G894" s="2" t="str">
        <f>MID(D894,FIND(",",D894)+1,FIND(",",D894,FIND(",",D894)+1)-FIND(",",D894)-1)</f>
        <v>130</v>
      </c>
      <c r="H894" s="2" t="str">
        <f>RIGHT(D894,LEN(D894)-FIND(",",D894,FIND(",",D894)+1))</f>
        <v>171</v>
      </c>
      <c r="I894" s="785"/>
    </row>
    <row r="895" spans="1:12" x14ac:dyDescent="0.25">
      <c r="A895" t="s">
        <v>28</v>
      </c>
      <c r="B895" t="s">
        <v>2567</v>
      </c>
      <c r="C895" s="2" t="s">
        <v>787</v>
      </c>
      <c r="D895" s="3" t="s">
        <v>2279</v>
      </c>
      <c r="E895" t="s">
        <v>21</v>
      </c>
      <c r="F895" s="2" t="str">
        <f>LEFT(D895,FIND(",",D895)-1)</f>
        <v>255</v>
      </c>
      <c r="G895" s="2" t="str">
        <f>MID(D895,FIND(",",D895)+1,FIND(",",D895,FIND(",",D895)+1)-FIND(",",D895)-1)</f>
        <v>160</v>
      </c>
      <c r="H895" s="2" t="str">
        <f>RIGHT(D895,LEN(D895)-FIND(",",D895,FIND(",",D895)+1))</f>
        <v>122</v>
      </c>
      <c r="I895" s="77"/>
    </row>
    <row r="896" spans="1:12" x14ac:dyDescent="0.25">
      <c r="A896" t="s">
        <v>1383</v>
      </c>
      <c r="B896" t="s">
        <v>2567</v>
      </c>
      <c r="C896" s="2" t="s">
        <v>2705</v>
      </c>
      <c r="D896" s="3" t="s">
        <v>2107</v>
      </c>
      <c r="E896" t="s">
        <v>21</v>
      </c>
      <c r="F896" s="5">
        <v>255</v>
      </c>
      <c r="G896" s="5">
        <v>166</v>
      </c>
      <c r="H896" s="5">
        <v>201</v>
      </c>
      <c r="I896" s="362"/>
      <c r="L896" s="7"/>
    </row>
    <row r="897" spans="1:12" x14ac:dyDescent="0.25">
      <c r="A897" t="s">
        <v>891</v>
      </c>
      <c r="B897" t="s">
        <v>2567</v>
      </c>
      <c r="C897" s="2" t="s">
        <v>892</v>
      </c>
      <c r="D897" s="3" t="s">
        <v>2508</v>
      </c>
      <c r="E897" t="s">
        <v>21</v>
      </c>
      <c r="F897" s="2" t="str">
        <f>LEFT(D897,FIND(",",D897)-1)</f>
        <v>255</v>
      </c>
      <c r="G897" s="2" t="str">
        <f>MID(D897,FIND(",",D897)+1,FIND(",",D897,FIND(",",D897)+1)-FIND(",",D897)-1)</f>
        <v>174</v>
      </c>
      <c r="H897" s="2" t="str">
        <f>RIGHT(D897,LEN(D897)-FIND(",",D897,FIND(",",D897)+1))</f>
        <v>185</v>
      </c>
      <c r="I897" s="552"/>
    </row>
    <row r="898" spans="1:12" x14ac:dyDescent="0.25">
      <c r="A898" t="s">
        <v>949</v>
      </c>
      <c r="B898" t="s">
        <v>2567</v>
      </c>
      <c r="C898" s="2" t="s">
        <v>950</v>
      </c>
      <c r="D898" s="3" t="s">
        <v>2517</v>
      </c>
      <c r="E898" t="s">
        <v>21</v>
      </c>
      <c r="F898" s="2" t="str">
        <f>LEFT(D898,FIND(",",D898)-1)</f>
        <v>255</v>
      </c>
      <c r="G898" s="2" t="str">
        <f>MID(D898,FIND(",",D898)+1,FIND(",",D898,FIND(",",D898)+1)-FIND(",",D898)-1)</f>
        <v>181</v>
      </c>
      <c r="H898" s="2" t="str">
        <f>RIGHT(D898,LEN(D898)-FIND(",",D898,FIND(",",D898)+1))</f>
        <v>197</v>
      </c>
      <c r="I898" s="269"/>
    </row>
    <row r="899" spans="1:12" x14ac:dyDescent="0.25">
      <c r="A899" t="s">
        <v>889</v>
      </c>
      <c r="B899" t="s">
        <v>2567</v>
      </c>
      <c r="C899" s="2" t="s">
        <v>890</v>
      </c>
      <c r="D899" s="3" t="s">
        <v>2310</v>
      </c>
      <c r="E899" t="s">
        <v>21</v>
      </c>
      <c r="F899" s="2" t="str">
        <f>LEFT(D899,FIND(",",D899)-1)</f>
        <v>255</v>
      </c>
      <c r="G899" s="2" t="str">
        <f>MID(D899,FIND(",",D899)+1,FIND(",",D899,FIND(",",D899)+1)-FIND(",",D899)-1)</f>
        <v>182</v>
      </c>
      <c r="H899" s="2" t="str">
        <f>RIGHT(D899,LEN(D899)-FIND(",",D899,FIND(",",D899)+1))</f>
        <v>193</v>
      </c>
      <c r="I899" s="219"/>
    </row>
    <row r="900" spans="1:12" x14ac:dyDescent="0.25">
      <c r="A900" t="s">
        <v>1399</v>
      </c>
      <c r="B900" t="s">
        <v>2567</v>
      </c>
      <c r="C900" s="2" t="s">
        <v>2706</v>
      </c>
      <c r="D900" s="3" t="s">
        <v>2125</v>
      </c>
      <c r="E900" t="s">
        <v>21</v>
      </c>
      <c r="F900" s="5">
        <v>255</v>
      </c>
      <c r="G900" s="5">
        <v>184</v>
      </c>
      <c r="H900" s="5">
        <v>196</v>
      </c>
      <c r="I900" s="302"/>
      <c r="L900" s="7"/>
    </row>
    <row r="901" spans="1:12" x14ac:dyDescent="0.25">
      <c r="A901" t="s">
        <v>1430</v>
      </c>
      <c r="B901" t="s">
        <v>2567</v>
      </c>
      <c r="C901" s="2" t="s">
        <v>2707</v>
      </c>
      <c r="D901" s="3" t="s">
        <v>2157</v>
      </c>
      <c r="E901" t="s">
        <v>21</v>
      </c>
      <c r="F901" s="5">
        <v>255</v>
      </c>
      <c r="G901" s="5">
        <v>189</v>
      </c>
      <c r="H901" s="5">
        <v>217</v>
      </c>
      <c r="I901" s="690"/>
      <c r="L901" s="7"/>
    </row>
    <row r="902" spans="1:12" x14ac:dyDescent="0.25">
      <c r="A902" t="s">
        <v>107</v>
      </c>
      <c r="B902" t="s">
        <v>2567</v>
      </c>
      <c r="C902" s="2" t="s">
        <v>948</v>
      </c>
      <c r="D902" s="3" t="s">
        <v>2311</v>
      </c>
      <c r="E902" t="s">
        <v>21</v>
      </c>
      <c r="F902" s="2" t="str">
        <f t="shared" ref="F902:F911" si="150">LEFT(D902,FIND(",",D902)-1)</f>
        <v>255</v>
      </c>
      <c r="G902" s="2" t="str">
        <f t="shared" ref="G902:G911" si="151">MID(D902,FIND(",",D902)+1,FIND(",",D902,FIND(",",D902)+1)-FIND(",",D902)-1)</f>
        <v>192</v>
      </c>
      <c r="H902" s="2" t="str">
        <f t="shared" ref="H902:H911" si="152">RIGHT(D902,LEN(D902)-FIND(",",D902,FIND(",",D902)+1))</f>
        <v>203</v>
      </c>
      <c r="I902" s="490"/>
    </row>
    <row r="903" spans="1:12" x14ac:dyDescent="0.25">
      <c r="A903" t="s">
        <v>860</v>
      </c>
      <c r="B903" t="s">
        <v>2567</v>
      </c>
      <c r="C903" s="2" t="s">
        <v>861</v>
      </c>
      <c r="D903" s="3" t="s">
        <v>1871</v>
      </c>
      <c r="E903" t="s">
        <v>21</v>
      </c>
      <c r="F903" s="2" t="str">
        <f t="shared" si="150"/>
        <v>255</v>
      </c>
      <c r="G903" s="2" t="str">
        <f t="shared" si="151"/>
        <v>20</v>
      </c>
      <c r="H903" s="2" t="str">
        <f t="shared" si="152"/>
        <v>147</v>
      </c>
      <c r="I903" s="157"/>
    </row>
    <row r="904" spans="1:12" x14ac:dyDescent="0.25">
      <c r="A904" t="s">
        <v>862</v>
      </c>
      <c r="B904" t="s">
        <v>2567</v>
      </c>
      <c r="C904" s="2" t="s">
        <v>861</v>
      </c>
      <c r="D904" s="3" t="s">
        <v>1871</v>
      </c>
      <c r="E904" t="s">
        <v>21</v>
      </c>
      <c r="F904" s="2" t="str">
        <f t="shared" si="150"/>
        <v>255</v>
      </c>
      <c r="G904" s="2" t="str">
        <f t="shared" si="151"/>
        <v>20</v>
      </c>
      <c r="H904" s="2" t="str">
        <f t="shared" si="152"/>
        <v>147</v>
      </c>
      <c r="I904" s="157"/>
    </row>
    <row r="905" spans="1:12" x14ac:dyDescent="0.25">
      <c r="A905" t="s">
        <v>901</v>
      </c>
      <c r="B905" t="s">
        <v>2567</v>
      </c>
      <c r="C905" s="2" t="s">
        <v>902</v>
      </c>
      <c r="D905" s="3" t="s">
        <v>2320</v>
      </c>
      <c r="E905" t="s">
        <v>21</v>
      </c>
      <c r="F905" s="2" t="str">
        <f t="shared" si="150"/>
        <v>255</v>
      </c>
      <c r="G905" s="2" t="str">
        <f t="shared" si="151"/>
        <v>228</v>
      </c>
      <c r="H905" s="2" t="str">
        <f t="shared" si="152"/>
        <v>225</v>
      </c>
      <c r="I905" s="160"/>
    </row>
    <row r="906" spans="1:12" x14ac:dyDescent="0.25">
      <c r="A906" t="s">
        <v>903</v>
      </c>
      <c r="B906" t="s">
        <v>2567</v>
      </c>
      <c r="C906" s="2" t="s">
        <v>902</v>
      </c>
      <c r="D906" s="3" t="s">
        <v>2320</v>
      </c>
      <c r="E906" t="s">
        <v>21</v>
      </c>
      <c r="F906" s="2" t="str">
        <f t="shared" si="150"/>
        <v>255</v>
      </c>
      <c r="G906" s="2" t="str">
        <f t="shared" si="151"/>
        <v>228</v>
      </c>
      <c r="H906" s="2" t="str">
        <f t="shared" si="152"/>
        <v>225</v>
      </c>
      <c r="I906" s="160"/>
    </row>
    <row r="907" spans="1:12" x14ac:dyDescent="0.25">
      <c r="A907" t="s">
        <v>985</v>
      </c>
      <c r="B907" t="s">
        <v>2567</v>
      </c>
      <c r="C907" s="2" t="s">
        <v>986</v>
      </c>
      <c r="D907" s="3" t="s">
        <v>1910</v>
      </c>
      <c r="E907" t="s">
        <v>21</v>
      </c>
      <c r="F907" s="2" t="str">
        <f t="shared" si="150"/>
        <v>255</v>
      </c>
      <c r="G907" s="2" t="str">
        <f t="shared" si="151"/>
        <v>28</v>
      </c>
      <c r="H907" s="2" t="str">
        <f t="shared" si="152"/>
        <v>174</v>
      </c>
      <c r="I907" s="604"/>
    </row>
    <row r="908" spans="1:12" x14ac:dyDescent="0.25">
      <c r="A908" t="s">
        <v>940</v>
      </c>
      <c r="B908" t="s">
        <v>2567</v>
      </c>
      <c r="C908" s="2" t="s">
        <v>941</v>
      </c>
      <c r="D908" s="3" t="s">
        <v>1894</v>
      </c>
      <c r="E908" t="s">
        <v>21</v>
      </c>
      <c r="F908" s="2" t="str">
        <f t="shared" si="150"/>
        <v>255</v>
      </c>
      <c r="G908" s="2" t="str">
        <f t="shared" si="151"/>
        <v>48</v>
      </c>
      <c r="H908" s="2" t="str">
        <f t="shared" si="152"/>
        <v>48</v>
      </c>
      <c r="I908" s="87"/>
    </row>
    <row r="909" spans="1:12" x14ac:dyDescent="0.25">
      <c r="A909" t="s">
        <v>931</v>
      </c>
      <c r="B909" t="s">
        <v>2567</v>
      </c>
      <c r="C909" s="2" t="s">
        <v>932</v>
      </c>
      <c r="D909" s="3" t="s">
        <v>1889</v>
      </c>
      <c r="E909" t="s">
        <v>21</v>
      </c>
      <c r="F909" s="2" t="str">
        <f t="shared" si="150"/>
        <v>255</v>
      </c>
      <c r="G909" s="2" t="str">
        <f t="shared" si="151"/>
        <v>62</v>
      </c>
      <c r="H909" s="2" t="str">
        <f t="shared" si="152"/>
        <v>150</v>
      </c>
      <c r="I909" s="553"/>
    </row>
    <row r="910" spans="1:12" x14ac:dyDescent="0.25">
      <c r="A910" t="s">
        <v>910</v>
      </c>
      <c r="B910" t="s">
        <v>2567</v>
      </c>
      <c r="C910" s="2" t="s">
        <v>911</v>
      </c>
      <c r="D910" s="3" t="s">
        <v>1883</v>
      </c>
      <c r="E910" t="s">
        <v>21</v>
      </c>
      <c r="F910" s="2" t="str">
        <f t="shared" si="150"/>
        <v>255</v>
      </c>
      <c r="G910" s="2" t="str">
        <f t="shared" si="151"/>
        <v>69</v>
      </c>
      <c r="H910" s="2" t="str">
        <f t="shared" si="152"/>
        <v>0</v>
      </c>
      <c r="I910" s="21"/>
    </row>
    <row r="911" spans="1:12" x14ac:dyDescent="0.25">
      <c r="A911" t="s">
        <v>912</v>
      </c>
      <c r="B911" t="s">
        <v>2567</v>
      </c>
      <c r="C911" s="2" t="s">
        <v>911</v>
      </c>
      <c r="D911" s="3" t="s">
        <v>1883</v>
      </c>
      <c r="E911" t="s">
        <v>21</v>
      </c>
      <c r="F911" s="2" t="str">
        <f t="shared" si="150"/>
        <v>255</v>
      </c>
      <c r="G911" s="2" t="str">
        <f t="shared" si="151"/>
        <v>69</v>
      </c>
      <c r="H911" s="2" t="str">
        <f t="shared" si="152"/>
        <v>0</v>
      </c>
      <c r="I911" s="21"/>
    </row>
    <row r="912" spans="1:12" x14ac:dyDescent="0.25">
      <c r="A912" t="s">
        <v>1503</v>
      </c>
      <c r="B912" t="s">
        <v>2567</v>
      </c>
      <c r="C912" s="2" t="s">
        <v>2708</v>
      </c>
      <c r="D912" s="3" t="s">
        <v>2225</v>
      </c>
      <c r="E912" t="s">
        <v>21</v>
      </c>
      <c r="F912" s="5">
        <v>255</v>
      </c>
      <c r="G912" s="5">
        <v>84</v>
      </c>
      <c r="H912" s="5">
        <v>112</v>
      </c>
      <c r="I912" s="764"/>
      <c r="L912" s="7"/>
    </row>
    <row r="913" spans="1:12" x14ac:dyDescent="0.25">
      <c r="A913" t="s">
        <v>22</v>
      </c>
      <c r="B913" t="s">
        <v>2567</v>
      </c>
      <c r="C913" s="2" t="s">
        <v>969</v>
      </c>
      <c r="D913" s="3" t="s">
        <v>1904</v>
      </c>
      <c r="E913" t="s">
        <v>21</v>
      </c>
      <c r="F913" s="2" t="str">
        <f>LEFT(D913,FIND(",",D913)-1)</f>
        <v>255</v>
      </c>
      <c r="G913" s="2" t="str">
        <f>MID(D913,FIND(",",D913)+1,FIND(",",D913,FIND(",",D913)+1)-FIND(",",D913)-1)</f>
        <v>99</v>
      </c>
      <c r="H913" s="2" t="str">
        <f>RIGHT(D913,LEN(D913)-FIND(",",D913,FIND(",",D913)+1))</f>
        <v>71</v>
      </c>
      <c r="I913" s="108"/>
    </row>
    <row r="914" spans="1:12" x14ac:dyDescent="0.25">
      <c r="A914" t="s">
        <v>22</v>
      </c>
      <c r="B914" t="s">
        <v>2567</v>
      </c>
      <c r="C914" s="2" t="s">
        <v>969</v>
      </c>
      <c r="D914" s="3" t="s">
        <v>1904</v>
      </c>
      <c r="E914" t="s">
        <v>21</v>
      </c>
      <c r="F914" s="2" t="str">
        <f>LEFT(D914,FIND(",",D914)-1)</f>
        <v>255</v>
      </c>
      <c r="G914" s="2" t="str">
        <f>MID(D914,FIND(",",D914)+1,FIND(",",D914,FIND(",",D914)+1)-FIND(",",D914)-1)</f>
        <v>99</v>
      </c>
      <c r="H914" s="2" t="str">
        <f>RIGHT(D914,LEN(D914)-FIND(",",D914,FIND(",",D914)+1))</f>
        <v>71</v>
      </c>
      <c r="I914" s="108"/>
    </row>
    <row r="915" spans="1:12" x14ac:dyDescent="0.25">
      <c r="A915" t="s">
        <v>970</v>
      </c>
      <c r="B915" t="s">
        <v>2567</v>
      </c>
      <c r="C915" s="2" t="s">
        <v>969</v>
      </c>
      <c r="D915" s="3" t="s">
        <v>1904</v>
      </c>
      <c r="E915" t="s">
        <v>21</v>
      </c>
      <c r="F915" s="2" t="str">
        <f>LEFT(D915,FIND(",",D915)-1)</f>
        <v>255</v>
      </c>
      <c r="G915" s="2" t="str">
        <f>MID(D915,FIND(",",D915)+1,FIND(",",D915,FIND(",",D915)+1)-FIND(",",D915)-1)</f>
        <v>99</v>
      </c>
      <c r="H915" s="2" t="str">
        <f>RIGHT(D915,LEN(D915)-FIND(",",D915,FIND(",",D915)+1))</f>
        <v>71</v>
      </c>
      <c r="I915" s="108"/>
    </row>
    <row r="916" spans="1:12" x14ac:dyDescent="0.25">
      <c r="A916" t="s">
        <v>859</v>
      </c>
      <c r="B916" t="s">
        <v>2567</v>
      </c>
      <c r="E916" t="s">
        <v>21</v>
      </c>
      <c r="I916" s="18"/>
    </row>
    <row r="917" spans="1:12" x14ac:dyDescent="0.25">
      <c r="A917" t="s">
        <v>2564</v>
      </c>
      <c r="B917" t="s">
        <v>2567</v>
      </c>
      <c r="C917" s="2" t="s">
        <v>2565</v>
      </c>
      <c r="D917" s="3" t="s">
        <v>2566</v>
      </c>
      <c r="E917" t="s">
        <v>2568</v>
      </c>
      <c r="F917" s="2" t="s">
        <v>2</v>
      </c>
      <c r="G917" s="2" t="s">
        <v>12</v>
      </c>
      <c r="H917" s="2" t="s">
        <v>4</v>
      </c>
    </row>
    <row r="918" spans="1:12" x14ac:dyDescent="0.25">
      <c r="A918" t="s">
        <v>1534</v>
      </c>
      <c r="B918" t="s">
        <v>2567</v>
      </c>
      <c r="D918" s="3" t="s">
        <v>1571</v>
      </c>
      <c r="E918" t="s">
        <v>99</v>
      </c>
      <c r="I918" s="18"/>
    </row>
    <row r="919" spans="1:12" x14ac:dyDescent="0.25">
      <c r="A919" t="s">
        <v>1537</v>
      </c>
      <c r="B919" t="s">
        <v>2567</v>
      </c>
      <c r="C919" s="2">
        <v>663399</v>
      </c>
      <c r="D919" s="3" t="s">
        <v>1602</v>
      </c>
      <c r="E919" t="s">
        <v>99</v>
      </c>
      <c r="F919" s="2" t="str">
        <f>LEFT(D919,FIND(",",D919)-1)</f>
        <v>102</v>
      </c>
      <c r="G919" s="2" t="str">
        <f>MID(D919,FIND(",",D919)+1,FIND(",",D919,FIND(",",D919)+1)-FIND(",",D919)-1)</f>
        <v xml:space="preserve"> 51</v>
      </c>
      <c r="H919" s="2" t="str">
        <f>RIGHT(D919,LEN(D919)-FIND(",",D919,FIND(",",D919)+1))</f>
        <v xml:space="preserve"> 153</v>
      </c>
      <c r="I919" s="458"/>
    </row>
    <row r="920" spans="1:12" x14ac:dyDescent="0.25">
      <c r="A920" t="s">
        <v>1000</v>
      </c>
      <c r="B920" t="s">
        <v>2567</v>
      </c>
      <c r="C920" s="2" t="s">
        <v>1001</v>
      </c>
      <c r="D920" s="3" t="s">
        <v>1917</v>
      </c>
      <c r="E920" t="s">
        <v>99</v>
      </c>
      <c r="F920" s="2" t="str">
        <f>LEFT(D920,FIND(",",D920)-1)</f>
        <v>104</v>
      </c>
      <c r="G920" s="2" t="str">
        <f>MID(D920,FIND(",",D920)+1,FIND(",",D920,FIND(",",D920)+1)-FIND(",",D920)-1)</f>
        <v>34</v>
      </c>
      <c r="H920" s="2" t="str">
        <f>RIGHT(D920,LEN(D920)-FIND(",",D920,FIND(",",D920)+1))</f>
        <v>139</v>
      </c>
      <c r="I920" s="556"/>
    </row>
    <row r="921" spans="1:12" x14ac:dyDescent="0.25">
      <c r="A921" t="s">
        <v>1504</v>
      </c>
      <c r="B921" t="s">
        <v>2567</v>
      </c>
      <c r="C921" s="2">
        <v>683068</v>
      </c>
      <c r="D921" s="3" t="s">
        <v>2226</v>
      </c>
      <c r="E921" t="s">
        <v>99</v>
      </c>
      <c r="F921" s="5">
        <v>105</v>
      </c>
      <c r="G921" s="5">
        <v>48</v>
      </c>
      <c r="H921" s="5">
        <v>105</v>
      </c>
      <c r="I921" s="376"/>
      <c r="L921" s="7"/>
    </row>
    <row r="922" spans="1:12" x14ac:dyDescent="0.25">
      <c r="A922" t="s">
        <v>473</v>
      </c>
      <c r="B922" t="s">
        <v>2567</v>
      </c>
      <c r="C922" s="2" t="s">
        <v>474</v>
      </c>
      <c r="D922" s="3" t="s">
        <v>1609</v>
      </c>
      <c r="E922" t="s">
        <v>99</v>
      </c>
      <c r="F922" s="2" t="str">
        <f>LEFT(D922,FIND(",",D922)-1)</f>
        <v>106</v>
      </c>
      <c r="G922" s="2" t="str">
        <f>MID(D922,FIND(",",D922)+1,FIND(",",D922,FIND(",",D922)+1)-FIND(",",D922)-1)</f>
        <v xml:space="preserve"> 90</v>
      </c>
      <c r="H922" s="2" t="str">
        <f>RIGHT(D922,LEN(D922)-FIND(",",D922,FIND(",",D922)+1))</f>
        <v xml:space="preserve"> 205</v>
      </c>
      <c r="I922" s="185"/>
    </row>
    <row r="923" spans="1:12" x14ac:dyDescent="0.25">
      <c r="A923" t="s">
        <v>1489</v>
      </c>
      <c r="B923" t="s">
        <v>2567</v>
      </c>
      <c r="C923" s="2" t="s">
        <v>2709</v>
      </c>
      <c r="D923" s="3" t="s">
        <v>2212</v>
      </c>
      <c r="E923" t="s">
        <v>99</v>
      </c>
      <c r="F923" s="5">
        <v>107</v>
      </c>
      <c r="G923" s="5">
        <v>48</v>
      </c>
      <c r="H923" s="5">
        <v>130</v>
      </c>
      <c r="I923" s="453"/>
      <c r="L923" s="7"/>
    </row>
    <row r="924" spans="1:12" x14ac:dyDescent="0.25">
      <c r="A924" t="s">
        <v>1366</v>
      </c>
      <c r="B924" t="s">
        <v>2567</v>
      </c>
      <c r="C924" s="2">
        <v>702963</v>
      </c>
      <c r="D924" s="3" t="s">
        <v>2090</v>
      </c>
      <c r="E924" t="s">
        <v>99</v>
      </c>
      <c r="F924" s="5">
        <v>112</v>
      </c>
      <c r="G924" s="5">
        <v>41</v>
      </c>
      <c r="H924" s="5">
        <v>99</v>
      </c>
      <c r="I924" s="360"/>
      <c r="L924" s="7"/>
    </row>
    <row r="925" spans="1:12" x14ac:dyDescent="0.25">
      <c r="A925" t="s">
        <v>1387</v>
      </c>
      <c r="B925" t="s">
        <v>2567</v>
      </c>
      <c r="C925" s="2">
        <v>703642</v>
      </c>
      <c r="D925" s="3" t="s">
        <v>2111</v>
      </c>
      <c r="E925" t="s">
        <v>99</v>
      </c>
      <c r="F925" s="5">
        <v>112</v>
      </c>
      <c r="G925" s="5">
        <v>54</v>
      </c>
      <c r="H925" s="5">
        <v>66</v>
      </c>
      <c r="I925" s="576"/>
      <c r="L925" s="7"/>
    </row>
    <row r="926" spans="1:12" x14ac:dyDescent="0.25">
      <c r="A926" t="s">
        <v>1021</v>
      </c>
      <c r="B926" t="s">
        <v>2567</v>
      </c>
      <c r="C926" s="2" t="s">
        <v>1022</v>
      </c>
      <c r="D926" s="3" t="s">
        <v>1922</v>
      </c>
      <c r="E926" t="s">
        <v>99</v>
      </c>
      <c r="F926" s="2" t="str">
        <f t="shared" ref="F926:F934" si="153">LEFT(D926,FIND(",",D926)-1)</f>
        <v>122</v>
      </c>
      <c r="G926" s="2" t="str">
        <f t="shared" ref="G926:G934" si="154">MID(D926,FIND(",",D926)+1,FIND(",",D926,FIND(",",D926)+1)-FIND(",",D926)-1)</f>
        <v>55</v>
      </c>
      <c r="H926" s="2" t="str">
        <f t="shared" ref="H926:H934" si="155">RIGHT(D926,LEN(D926)-FIND(",",D926,FIND(",",D926)+1))</f>
        <v>139</v>
      </c>
      <c r="I926" s="557"/>
    </row>
    <row r="927" spans="1:12" x14ac:dyDescent="0.25">
      <c r="A927" t="s">
        <v>435</v>
      </c>
      <c r="B927" t="s">
        <v>2567</v>
      </c>
      <c r="C927" s="2" t="s">
        <v>436</v>
      </c>
      <c r="D927" s="3" t="s">
        <v>1611</v>
      </c>
      <c r="E927" t="s">
        <v>99</v>
      </c>
      <c r="F927" s="2" t="str">
        <f t="shared" si="153"/>
        <v>123</v>
      </c>
      <c r="G927" s="2" t="str">
        <f t="shared" si="154"/>
        <v xml:space="preserve"> 104</v>
      </c>
      <c r="H927" s="2" t="str">
        <f t="shared" si="155"/>
        <v xml:space="preserve"> 238</v>
      </c>
      <c r="I927" s="217"/>
    </row>
    <row r="928" spans="1:12" x14ac:dyDescent="0.25">
      <c r="A928" t="s">
        <v>1082</v>
      </c>
      <c r="B928" t="s">
        <v>2567</v>
      </c>
      <c r="C928" s="2" t="s">
        <v>1083</v>
      </c>
      <c r="D928" s="3" t="s">
        <v>1939</v>
      </c>
      <c r="E928" t="s">
        <v>99</v>
      </c>
      <c r="F928" s="2" t="str">
        <f t="shared" si="153"/>
        <v>125</v>
      </c>
      <c r="G928" s="2" t="str">
        <f t="shared" si="154"/>
        <v>38</v>
      </c>
      <c r="H928" s="2" t="str">
        <f t="shared" si="155"/>
        <v>205</v>
      </c>
      <c r="I928" s="276"/>
    </row>
    <row r="929" spans="1:12" x14ac:dyDescent="0.25">
      <c r="A929" t="s">
        <v>13</v>
      </c>
      <c r="B929" t="s">
        <v>2567</v>
      </c>
      <c r="C929" s="2">
        <v>800080</v>
      </c>
      <c r="D929" s="3" t="s">
        <v>1607</v>
      </c>
      <c r="E929" t="s">
        <v>99</v>
      </c>
      <c r="F929" s="2" t="str">
        <f t="shared" si="153"/>
        <v>128</v>
      </c>
      <c r="G929" s="2" t="str">
        <f t="shared" si="154"/>
        <v xml:space="preserve"> 0</v>
      </c>
      <c r="H929" s="2" t="str">
        <f t="shared" si="155"/>
        <v xml:space="preserve"> 128</v>
      </c>
      <c r="I929" s="20"/>
    </row>
    <row r="930" spans="1:12" x14ac:dyDescent="0.25">
      <c r="A930" t="s">
        <v>10</v>
      </c>
      <c r="B930" t="s">
        <v>2567</v>
      </c>
      <c r="C930" s="2">
        <v>800000</v>
      </c>
      <c r="D930" s="3" t="s">
        <v>1943</v>
      </c>
      <c r="E930" t="s">
        <v>99</v>
      </c>
      <c r="F930" s="2" t="str">
        <f t="shared" si="153"/>
        <v>128</v>
      </c>
      <c r="G930" s="2" t="str">
        <f t="shared" si="154"/>
        <v>0</v>
      </c>
      <c r="H930" s="2" t="str">
        <f t="shared" si="155"/>
        <v>0</v>
      </c>
      <c r="I930" s="9"/>
    </row>
    <row r="931" spans="1:12" x14ac:dyDescent="0.25">
      <c r="A931" t="s">
        <v>10</v>
      </c>
      <c r="B931" t="s">
        <v>2567</v>
      </c>
      <c r="C931" s="2">
        <v>800000</v>
      </c>
      <c r="D931" s="3" t="s">
        <v>1943</v>
      </c>
      <c r="E931" t="s">
        <v>99</v>
      </c>
      <c r="F931" s="2" t="str">
        <f t="shared" si="153"/>
        <v>128</v>
      </c>
      <c r="G931" s="2" t="str">
        <f t="shared" si="154"/>
        <v>0</v>
      </c>
      <c r="H931" s="2" t="str">
        <f t="shared" si="155"/>
        <v>0</v>
      </c>
      <c r="I931" s="9"/>
    </row>
    <row r="932" spans="1:12" x14ac:dyDescent="0.25">
      <c r="A932" t="s">
        <v>13</v>
      </c>
      <c r="B932" t="s">
        <v>2567</v>
      </c>
      <c r="C932" s="2">
        <v>800080</v>
      </c>
      <c r="D932" s="3" t="s">
        <v>1936</v>
      </c>
      <c r="E932" t="s">
        <v>99</v>
      </c>
      <c r="F932" s="2" t="str">
        <f t="shared" si="153"/>
        <v>128</v>
      </c>
      <c r="G932" s="2" t="str">
        <f t="shared" si="154"/>
        <v>0</v>
      </c>
      <c r="H932" s="2" t="str">
        <f t="shared" si="155"/>
        <v>128</v>
      </c>
      <c r="I932" s="20"/>
    </row>
    <row r="933" spans="1:12" x14ac:dyDescent="0.25">
      <c r="A933" t="s">
        <v>96</v>
      </c>
      <c r="B933" t="s">
        <v>2567</v>
      </c>
      <c r="C933" s="2">
        <v>800080</v>
      </c>
      <c r="D933" s="3" t="s">
        <v>1936</v>
      </c>
      <c r="E933" t="s">
        <v>99</v>
      </c>
      <c r="F933" s="2" t="str">
        <f t="shared" si="153"/>
        <v>128</v>
      </c>
      <c r="G933" s="2" t="str">
        <f t="shared" si="154"/>
        <v>0</v>
      </c>
      <c r="H933" s="2" t="str">
        <f t="shared" si="155"/>
        <v>128</v>
      </c>
      <c r="I933" s="20"/>
    </row>
    <row r="934" spans="1:12" x14ac:dyDescent="0.25">
      <c r="A934" t="s">
        <v>96</v>
      </c>
      <c r="B934" t="s">
        <v>2567</v>
      </c>
      <c r="C934" s="2">
        <v>800080</v>
      </c>
      <c r="D934" s="3" t="s">
        <v>1936</v>
      </c>
      <c r="E934" t="s">
        <v>99</v>
      </c>
      <c r="F934" s="2" t="str">
        <f t="shared" si="153"/>
        <v>128</v>
      </c>
      <c r="G934" s="2" t="str">
        <f t="shared" si="154"/>
        <v>0</v>
      </c>
      <c r="H934" s="2" t="str">
        <f t="shared" si="155"/>
        <v>128</v>
      </c>
      <c r="I934" s="20"/>
    </row>
    <row r="935" spans="1:12" x14ac:dyDescent="0.25">
      <c r="A935" t="s">
        <v>1411</v>
      </c>
      <c r="B935" t="s">
        <v>2567</v>
      </c>
      <c r="C935" s="2" t="s">
        <v>2710</v>
      </c>
      <c r="D935" s="3" t="s">
        <v>2139</v>
      </c>
      <c r="E935" t="s">
        <v>99</v>
      </c>
      <c r="F935" s="5">
        <v>128</v>
      </c>
      <c r="G935" s="5">
        <v>23</v>
      </c>
      <c r="H935" s="5">
        <v>51</v>
      </c>
      <c r="I935" s="624"/>
      <c r="L935" s="7"/>
    </row>
    <row r="936" spans="1:12" x14ac:dyDescent="0.25">
      <c r="A936" t="s">
        <v>1308</v>
      </c>
      <c r="B936" t="s">
        <v>2567</v>
      </c>
      <c r="C936" s="2" t="s">
        <v>2711</v>
      </c>
      <c r="D936" s="3" t="s">
        <v>2021</v>
      </c>
      <c r="E936" t="s">
        <v>99</v>
      </c>
      <c r="F936" s="5">
        <v>133</v>
      </c>
      <c r="G936" s="5">
        <v>28</v>
      </c>
      <c r="H936" s="5">
        <v>46</v>
      </c>
      <c r="I936" s="432"/>
      <c r="L936" s="7"/>
    </row>
    <row r="937" spans="1:12" x14ac:dyDescent="0.25">
      <c r="A937" t="s">
        <v>1404</v>
      </c>
      <c r="B937" t="s">
        <v>2567</v>
      </c>
      <c r="C937" s="2">
        <v>856088</v>
      </c>
      <c r="D937" s="3" t="s">
        <v>2130</v>
      </c>
      <c r="E937" t="s">
        <v>99</v>
      </c>
      <c r="F937" s="5">
        <v>133</v>
      </c>
      <c r="G937" s="5">
        <v>97</v>
      </c>
      <c r="H937" s="5">
        <v>135</v>
      </c>
      <c r="I937" s="623"/>
      <c r="L937" s="7"/>
    </row>
    <row r="938" spans="1:12" x14ac:dyDescent="0.25">
      <c r="A938" t="s">
        <v>1098</v>
      </c>
      <c r="B938" t="s">
        <v>2567</v>
      </c>
      <c r="C938" s="2" t="s">
        <v>1099</v>
      </c>
      <c r="D938" s="3" t="s">
        <v>1942</v>
      </c>
      <c r="E938" t="s">
        <v>99</v>
      </c>
      <c r="F938" s="2" t="str">
        <f>LEFT(D938,FIND(",",D938)-1)</f>
        <v>135</v>
      </c>
      <c r="G938" s="2" t="str">
        <f>MID(D938,FIND(",",D938)+1,FIND(",",D938,FIND(",",D938)+1)-FIND(",",D938)-1)</f>
        <v>31</v>
      </c>
      <c r="H938" s="2" t="str">
        <f>RIGHT(D938,LEN(D938)-FIND(",",D938,FIND(",",D938)+1))</f>
        <v>120</v>
      </c>
      <c r="I938" s="666"/>
    </row>
    <row r="939" spans="1:12" x14ac:dyDescent="0.25">
      <c r="A939" t="s">
        <v>1520</v>
      </c>
      <c r="B939" t="s">
        <v>2567</v>
      </c>
      <c r="C939" s="2" t="s">
        <v>2712</v>
      </c>
      <c r="D939" s="3" t="s">
        <v>2243</v>
      </c>
      <c r="E939" t="s">
        <v>99</v>
      </c>
      <c r="F939" s="5">
        <v>135</v>
      </c>
      <c r="G939" s="5">
        <v>5</v>
      </c>
      <c r="H939" s="5">
        <v>207</v>
      </c>
      <c r="I939" s="529"/>
      <c r="L939" s="7"/>
    </row>
    <row r="940" spans="1:12" x14ac:dyDescent="0.25">
      <c r="A940" t="s">
        <v>1514</v>
      </c>
      <c r="B940" t="s">
        <v>2567</v>
      </c>
      <c r="C940" s="2" t="s">
        <v>2713</v>
      </c>
      <c r="D940" s="3" t="s">
        <v>2237</v>
      </c>
      <c r="E940" t="s">
        <v>99</v>
      </c>
      <c r="F940" s="5">
        <v>135</v>
      </c>
      <c r="G940" s="5">
        <v>97</v>
      </c>
      <c r="H940" s="5">
        <v>143</v>
      </c>
      <c r="I940" s="636"/>
      <c r="L940" s="7"/>
    </row>
    <row r="941" spans="1:12" x14ac:dyDescent="0.25">
      <c r="A941" t="s">
        <v>1032</v>
      </c>
      <c r="B941" t="s">
        <v>2567</v>
      </c>
      <c r="C941" s="2" t="s">
        <v>1033</v>
      </c>
      <c r="D941" s="3" t="s">
        <v>2527</v>
      </c>
      <c r="E941" t="s">
        <v>99</v>
      </c>
      <c r="F941" s="2" t="str">
        <f>LEFT(D941,FIND(",",D941)-1)</f>
        <v>137</v>
      </c>
      <c r="G941" s="2" t="str">
        <f>MID(D941,FIND(",",D941)+1,FIND(",",D941,FIND(",",D941)+1)-FIND(",",D941)-1)</f>
        <v>104</v>
      </c>
      <c r="H941" s="2" t="str">
        <f>RIGHT(D941,LEN(D941)-FIND(",",D941,FIND(",",D941)+1))</f>
        <v>205</v>
      </c>
      <c r="I941" s="339"/>
    </row>
    <row r="942" spans="1:12" x14ac:dyDescent="0.25">
      <c r="A942" t="s">
        <v>348</v>
      </c>
      <c r="B942" t="s">
        <v>2567</v>
      </c>
      <c r="C942" s="2" t="s">
        <v>349</v>
      </c>
      <c r="D942" s="3" t="s">
        <v>1603</v>
      </c>
      <c r="E942" t="s">
        <v>99</v>
      </c>
      <c r="F942" s="2" t="str">
        <f>LEFT(D942,FIND(",",D942)-1)</f>
        <v>138</v>
      </c>
      <c r="G942" s="2" t="str">
        <f>MID(D942,FIND(",",D942)+1,FIND(",",D942,FIND(",",D942)+1)-FIND(",",D942)-1)</f>
        <v xml:space="preserve"> 43</v>
      </c>
      <c r="H942" s="2" t="str">
        <f>RIGHT(D942,LEN(D942)-FIND(",",D942,FIND(",",D942)+1))</f>
        <v xml:space="preserve"> 226</v>
      </c>
      <c r="I942" s="114"/>
    </row>
    <row r="943" spans="1:12" x14ac:dyDescent="0.25">
      <c r="A943" t="s">
        <v>1980</v>
      </c>
      <c r="B943" t="s">
        <v>2567</v>
      </c>
      <c r="C943" s="2" t="s">
        <v>349</v>
      </c>
      <c r="D943" s="3" t="s">
        <v>2068</v>
      </c>
      <c r="E943" t="s">
        <v>99</v>
      </c>
      <c r="F943" s="5">
        <v>138</v>
      </c>
      <c r="G943" s="5">
        <v>43</v>
      </c>
      <c r="H943" s="5">
        <v>227</v>
      </c>
      <c r="I943" s="680"/>
      <c r="L943" s="7"/>
    </row>
    <row r="944" spans="1:12" x14ac:dyDescent="0.25">
      <c r="A944" t="s">
        <v>1538</v>
      </c>
      <c r="B944" t="s">
        <v>2567</v>
      </c>
      <c r="C944" s="2" t="s">
        <v>1046</v>
      </c>
      <c r="D944" s="3" t="s">
        <v>1606</v>
      </c>
      <c r="E944" t="s">
        <v>99</v>
      </c>
      <c r="F944" s="2" t="str">
        <f t="shared" ref="F944:F951" si="156">LEFT(D944,FIND(",",D944)-1)</f>
        <v>139</v>
      </c>
      <c r="G944" s="2" t="str">
        <f t="shared" ref="G944:G951" si="157">MID(D944,FIND(",",D944)+1,FIND(",",D944,FIND(",",D944)+1)-FIND(",",D944)-1)</f>
        <v xml:space="preserve"> 0</v>
      </c>
      <c r="H944" s="2" t="str">
        <f t="shared" ref="H944:H951" si="158">RIGHT(D944,LEN(D944)-FIND(",",D944,FIND(",",D944)+1))</f>
        <v xml:space="preserve"> 139</v>
      </c>
      <c r="I944" s="530"/>
    </row>
    <row r="945" spans="1:12" x14ac:dyDescent="0.25">
      <c r="A945" t="s">
        <v>92</v>
      </c>
      <c r="B945" t="s">
        <v>2567</v>
      </c>
      <c r="C945" s="2" t="s">
        <v>1046</v>
      </c>
      <c r="D945" s="3" t="s">
        <v>1928</v>
      </c>
      <c r="E945" t="s">
        <v>99</v>
      </c>
      <c r="F945" s="2" t="str">
        <f t="shared" si="156"/>
        <v>139</v>
      </c>
      <c r="G945" s="2" t="str">
        <f t="shared" si="157"/>
        <v>0</v>
      </c>
      <c r="H945" s="2" t="str">
        <f t="shared" si="158"/>
        <v>139</v>
      </c>
      <c r="I945" s="530"/>
    </row>
    <row r="946" spans="1:12" x14ac:dyDescent="0.25">
      <c r="A946" t="s">
        <v>1045</v>
      </c>
      <c r="B946" t="s">
        <v>2567</v>
      </c>
      <c r="C946" s="2" t="s">
        <v>1046</v>
      </c>
      <c r="D946" s="3" t="s">
        <v>1928</v>
      </c>
      <c r="E946" t="s">
        <v>99</v>
      </c>
      <c r="F946" s="2" t="str">
        <f t="shared" si="156"/>
        <v>139</v>
      </c>
      <c r="G946" s="2" t="str">
        <f t="shared" si="157"/>
        <v>0</v>
      </c>
      <c r="H946" s="2" t="str">
        <f t="shared" si="158"/>
        <v>139</v>
      </c>
      <c r="I946" s="530"/>
    </row>
    <row r="947" spans="1:12" x14ac:dyDescent="0.25">
      <c r="A947" t="s">
        <v>1074</v>
      </c>
      <c r="B947" t="s">
        <v>2567</v>
      </c>
      <c r="C947" s="2" t="s">
        <v>1075</v>
      </c>
      <c r="D947" s="3" t="s">
        <v>2535</v>
      </c>
      <c r="E947" t="s">
        <v>99</v>
      </c>
      <c r="F947" s="2" t="str">
        <f t="shared" si="156"/>
        <v>139</v>
      </c>
      <c r="G947" s="2" t="str">
        <f t="shared" si="157"/>
        <v>102</v>
      </c>
      <c r="H947" s="2" t="str">
        <f t="shared" si="158"/>
        <v>139</v>
      </c>
      <c r="I947" s="496"/>
    </row>
    <row r="948" spans="1:12" x14ac:dyDescent="0.25">
      <c r="A948" t="s">
        <v>1093</v>
      </c>
      <c r="B948" t="s">
        <v>2567</v>
      </c>
      <c r="C948" s="2" t="s">
        <v>1094</v>
      </c>
      <c r="D948" s="3" t="s">
        <v>2539</v>
      </c>
      <c r="E948" t="s">
        <v>99</v>
      </c>
      <c r="F948" s="2" t="str">
        <f t="shared" si="156"/>
        <v>139</v>
      </c>
      <c r="G948" s="2" t="str">
        <f t="shared" si="157"/>
        <v>123</v>
      </c>
      <c r="H948" s="2" t="str">
        <f t="shared" si="158"/>
        <v>139</v>
      </c>
      <c r="I948" s="560"/>
    </row>
    <row r="949" spans="1:12" x14ac:dyDescent="0.25">
      <c r="A949" t="s">
        <v>1011</v>
      </c>
      <c r="B949" t="s">
        <v>2567</v>
      </c>
      <c r="C949" s="2" t="s">
        <v>1012</v>
      </c>
      <c r="D949" s="3" t="s">
        <v>2523</v>
      </c>
      <c r="E949" t="s">
        <v>99</v>
      </c>
      <c r="F949" s="2" t="str">
        <f t="shared" si="156"/>
        <v>139</v>
      </c>
      <c r="G949" s="2" t="str">
        <f t="shared" si="157"/>
        <v>131</v>
      </c>
      <c r="H949" s="2" t="str">
        <f t="shared" si="158"/>
        <v>134</v>
      </c>
      <c r="I949" s="338"/>
    </row>
    <row r="950" spans="1:12" x14ac:dyDescent="0.25">
      <c r="A950" t="s">
        <v>1054</v>
      </c>
      <c r="B950" t="s">
        <v>2567</v>
      </c>
      <c r="C950" s="2" t="s">
        <v>1055</v>
      </c>
      <c r="D950" s="3" t="s">
        <v>1933</v>
      </c>
      <c r="E950" t="s">
        <v>99</v>
      </c>
      <c r="F950" s="2" t="str">
        <f t="shared" si="156"/>
        <v>139</v>
      </c>
      <c r="G950" s="2" t="str">
        <f t="shared" si="157"/>
        <v>28</v>
      </c>
      <c r="H950" s="2" t="str">
        <f t="shared" si="158"/>
        <v>98</v>
      </c>
      <c r="I950" s="495"/>
    </row>
    <row r="951" spans="1:12" x14ac:dyDescent="0.25">
      <c r="A951" t="s">
        <v>1065</v>
      </c>
      <c r="B951" t="s">
        <v>2567</v>
      </c>
      <c r="C951" s="2" t="s">
        <v>1066</v>
      </c>
      <c r="D951" s="3" t="s">
        <v>1934</v>
      </c>
      <c r="E951" t="s">
        <v>99</v>
      </c>
      <c r="F951" s="2" t="str">
        <f t="shared" si="156"/>
        <v>139</v>
      </c>
      <c r="G951" s="2" t="str">
        <f t="shared" si="157"/>
        <v>71</v>
      </c>
      <c r="H951" s="2" t="str">
        <f t="shared" si="158"/>
        <v>137</v>
      </c>
      <c r="I951" s="723"/>
    </row>
    <row r="952" spans="1:12" x14ac:dyDescent="0.25">
      <c r="A952" t="s">
        <v>1446</v>
      </c>
      <c r="B952" t="s">
        <v>2567</v>
      </c>
      <c r="C952" s="2" t="s">
        <v>1046</v>
      </c>
      <c r="D952" s="3" t="s">
        <v>2176</v>
      </c>
      <c r="E952" t="s">
        <v>99</v>
      </c>
      <c r="F952" s="5">
        <v>140</v>
      </c>
      <c r="G952" s="5">
        <v>0</v>
      </c>
      <c r="H952" s="5">
        <v>140</v>
      </c>
      <c r="I952" s="816"/>
      <c r="L952" s="7"/>
    </row>
    <row r="953" spans="1:12" x14ac:dyDescent="0.25">
      <c r="A953" t="s">
        <v>1487</v>
      </c>
      <c r="B953" t="s">
        <v>2567</v>
      </c>
      <c r="C953" s="2" t="s">
        <v>2714</v>
      </c>
      <c r="D953" s="3" t="s">
        <v>2210</v>
      </c>
      <c r="E953" t="s">
        <v>99</v>
      </c>
      <c r="F953" s="5">
        <v>143</v>
      </c>
      <c r="G953" s="5">
        <v>0</v>
      </c>
      <c r="H953" s="5">
        <v>255</v>
      </c>
      <c r="I953" s="819"/>
      <c r="L953" s="7"/>
    </row>
    <row r="954" spans="1:12" x14ac:dyDescent="0.25">
      <c r="A954" t="s">
        <v>1080</v>
      </c>
      <c r="B954" t="s">
        <v>2567</v>
      </c>
      <c r="C954" s="2" t="s">
        <v>1081</v>
      </c>
      <c r="D954" s="3" t="s">
        <v>1938</v>
      </c>
      <c r="E954" t="s">
        <v>99</v>
      </c>
      <c r="F954" s="2" t="str">
        <f>LEFT(D954,FIND(",",D954)-1)</f>
        <v>145</v>
      </c>
      <c r="G954" s="2" t="str">
        <f>MID(D954,FIND(",",D954)+1,FIND(",",D954,FIND(",",D954)+1)-FIND(",",D954)-1)</f>
        <v>44</v>
      </c>
      <c r="H954" s="2" t="str">
        <f>RIGHT(D954,LEN(D954)-FIND(",",D954,FIND(",",D954)+1))</f>
        <v>238</v>
      </c>
      <c r="I954" s="724"/>
    </row>
    <row r="955" spans="1:12" x14ac:dyDescent="0.25">
      <c r="A955" t="s">
        <v>1307</v>
      </c>
      <c r="B955" t="s">
        <v>2567</v>
      </c>
      <c r="C955" s="2" t="s">
        <v>2715</v>
      </c>
      <c r="D955" s="3" t="s">
        <v>2020</v>
      </c>
      <c r="E955" t="s">
        <v>99</v>
      </c>
      <c r="F955" s="5">
        <v>145</v>
      </c>
      <c r="G955" s="5">
        <v>92</v>
      </c>
      <c r="H955" s="5">
        <v>130</v>
      </c>
      <c r="I955" s="352"/>
      <c r="L955" s="7"/>
    </row>
    <row r="956" spans="1:12" x14ac:dyDescent="0.25">
      <c r="A956" t="s">
        <v>1023</v>
      </c>
      <c r="B956" t="s">
        <v>2567</v>
      </c>
      <c r="C956" s="2" t="s">
        <v>1024</v>
      </c>
      <c r="D956" s="3" t="s">
        <v>1601</v>
      </c>
      <c r="E956" t="s">
        <v>99</v>
      </c>
      <c r="F956" s="2" t="str">
        <f t="shared" ref="F956:F962" si="159">LEFT(D956,FIND(",",D956)-1)</f>
        <v>147</v>
      </c>
      <c r="G956" s="2" t="str">
        <f t="shared" ref="G956:G962" si="160">MID(D956,FIND(",",D956)+1,FIND(",",D956,FIND(",",D956)+1)-FIND(",",D956)-1)</f>
        <v xml:space="preserve"> 112</v>
      </c>
      <c r="H956" s="2" t="str">
        <f t="shared" ref="H956:H962" si="161">RIGHT(D956,LEN(D956)-FIND(",",D956,FIND(",",D956)+1))</f>
        <v xml:space="preserve"> 219</v>
      </c>
      <c r="I956" s="380"/>
    </row>
    <row r="957" spans="1:12" x14ac:dyDescent="0.25">
      <c r="A957" t="s">
        <v>91</v>
      </c>
      <c r="B957" t="s">
        <v>2567</v>
      </c>
      <c r="C957" s="2" t="s">
        <v>1024</v>
      </c>
      <c r="D957" s="3" t="s">
        <v>2303</v>
      </c>
      <c r="E957" t="s">
        <v>99</v>
      </c>
      <c r="F957" s="2" t="str">
        <f t="shared" si="159"/>
        <v>147</v>
      </c>
      <c r="G957" s="2" t="str">
        <f t="shared" si="160"/>
        <v>112</v>
      </c>
      <c r="H957" s="2" t="str">
        <f t="shared" si="161"/>
        <v>219</v>
      </c>
      <c r="I957" s="380"/>
    </row>
    <row r="958" spans="1:12" x14ac:dyDescent="0.25">
      <c r="A958" t="s">
        <v>1023</v>
      </c>
      <c r="B958" t="s">
        <v>2567</v>
      </c>
      <c r="C958" s="2" t="s">
        <v>1024</v>
      </c>
      <c r="D958" s="3" t="s">
        <v>2303</v>
      </c>
      <c r="E958" t="s">
        <v>99</v>
      </c>
      <c r="F958" s="2" t="str">
        <f t="shared" si="159"/>
        <v>147</v>
      </c>
      <c r="G958" s="2" t="str">
        <f t="shared" si="160"/>
        <v>112</v>
      </c>
      <c r="H958" s="2" t="str">
        <f t="shared" si="161"/>
        <v>219</v>
      </c>
      <c r="I958" s="380"/>
    </row>
    <row r="959" spans="1:12" x14ac:dyDescent="0.25">
      <c r="A959" t="s">
        <v>1025</v>
      </c>
      <c r="B959" t="s">
        <v>2567</v>
      </c>
      <c r="C959" s="2" t="s">
        <v>1024</v>
      </c>
      <c r="D959" s="3" t="s">
        <v>2303</v>
      </c>
      <c r="E959" t="s">
        <v>99</v>
      </c>
      <c r="F959" s="2" t="str">
        <f t="shared" si="159"/>
        <v>147</v>
      </c>
      <c r="G959" s="2" t="str">
        <f t="shared" si="160"/>
        <v>112</v>
      </c>
      <c r="H959" s="2" t="str">
        <f t="shared" si="161"/>
        <v>219</v>
      </c>
      <c r="I959" s="380"/>
    </row>
    <row r="960" spans="1:12" x14ac:dyDescent="0.25">
      <c r="A960" t="s">
        <v>1002</v>
      </c>
      <c r="B960" t="s">
        <v>2567</v>
      </c>
      <c r="C960" s="2" t="s">
        <v>1003</v>
      </c>
      <c r="D960" s="3" t="s">
        <v>1604</v>
      </c>
      <c r="E960" t="s">
        <v>99</v>
      </c>
      <c r="F960" s="2" t="str">
        <f t="shared" si="159"/>
        <v>148</v>
      </c>
      <c r="G960" s="2" t="str">
        <f t="shared" si="160"/>
        <v xml:space="preserve"> 0</v>
      </c>
      <c r="H960" s="2" t="str">
        <f t="shared" si="161"/>
        <v xml:space="preserve"> 211</v>
      </c>
      <c r="I960" s="29"/>
    </row>
    <row r="961" spans="1:12" x14ac:dyDescent="0.25">
      <c r="A961" t="s">
        <v>93</v>
      </c>
      <c r="B961" t="s">
        <v>2567</v>
      </c>
      <c r="C961" s="2" t="s">
        <v>1003</v>
      </c>
      <c r="D961" s="3" t="s">
        <v>1918</v>
      </c>
      <c r="E961" t="s">
        <v>99</v>
      </c>
      <c r="F961" s="2" t="str">
        <f t="shared" si="159"/>
        <v>148</v>
      </c>
      <c r="G961" s="2" t="str">
        <f t="shared" si="160"/>
        <v>0</v>
      </c>
      <c r="H961" s="2" t="str">
        <f t="shared" si="161"/>
        <v>211</v>
      </c>
      <c r="I961" s="29"/>
    </row>
    <row r="962" spans="1:12" x14ac:dyDescent="0.25">
      <c r="A962" t="s">
        <v>1002</v>
      </c>
      <c r="B962" t="s">
        <v>2567</v>
      </c>
      <c r="C962" s="2" t="s">
        <v>1003</v>
      </c>
      <c r="D962" s="3" t="s">
        <v>1918</v>
      </c>
      <c r="E962" t="s">
        <v>99</v>
      </c>
      <c r="F962" s="2" t="str">
        <f t="shared" si="159"/>
        <v>148</v>
      </c>
      <c r="G962" s="2" t="str">
        <f t="shared" si="160"/>
        <v>0</v>
      </c>
      <c r="H962" s="2" t="str">
        <f t="shared" si="161"/>
        <v>211</v>
      </c>
      <c r="I962" s="29"/>
    </row>
    <row r="963" spans="1:12" x14ac:dyDescent="0.25">
      <c r="A963" t="s">
        <v>1460</v>
      </c>
      <c r="B963" t="s">
        <v>2567</v>
      </c>
      <c r="C963" s="2" t="s">
        <v>1003</v>
      </c>
      <c r="D963" s="3" t="s">
        <v>2189</v>
      </c>
      <c r="E963" t="s">
        <v>99</v>
      </c>
      <c r="F963" s="5">
        <v>148</v>
      </c>
      <c r="G963" s="5">
        <v>0</v>
      </c>
      <c r="H963" s="5">
        <v>212</v>
      </c>
      <c r="I963" s="630"/>
      <c r="L963" s="7"/>
    </row>
    <row r="964" spans="1:12" x14ac:dyDescent="0.25">
      <c r="A964" t="s">
        <v>992</v>
      </c>
      <c r="B964" t="s">
        <v>2567</v>
      </c>
      <c r="C964" s="2" t="s">
        <v>993</v>
      </c>
      <c r="D964" s="3" t="s">
        <v>1605</v>
      </c>
      <c r="E964" t="s">
        <v>99</v>
      </c>
      <c r="F964" s="2" t="str">
        <f>LEFT(D964,FIND(",",D964)-1)</f>
        <v>153</v>
      </c>
      <c r="G964" s="2" t="str">
        <f>MID(D964,FIND(",",D964)+1,FIND(",",D964,FIND(",",D964)+1)-FIND(",",D964)-1)</f>
        <v xml:space="preserve"> 50</v>
      </c>
      <c r="H964" s="2" t="str">
        <f>RIGHT(D964,LEN(D964)-FIND(",",D964,FIND(",",D964)+1))</f>
        <v xml:space="preserve"> 204</v>
      </c>
      <c r="I964" s="115"/>
    </row>
    <row r="965" spans="1:12" x14ac:dyDescent="0.25">
      <c r="A965" t="s">
        <v>3261</v>
      </c>
      <c r="B965" t="s">
        <v>2567</v>
      </c>
      <c r="C965" s="2" t="s">
        <v>1076</v>
      </c>
      <c r="D965" s="3" t="s">
        <v>2016</v>
      </c>
      <c r="E965" t="s">
        <v>99</v>
      </c>
      <c r="F965" s="2" t="str">
        <f>LEFT(D965,FIND(",",D965)-1)</f>
        <v>153</v>
      </c>
      <c r="G965" s="2" t="str">
        <f>MID(D965,FIND(",",D965)+1,FIND(",",D965,FIND(",",D965)+1)-FIND(",",D965)-1)</f>
        <v>102</v>
      </c>
      <c r="H965" s="2" t="str">
        <f>RIGHT(D965,LEN(D965)-FIND(",",D965,FIND(",",D965)+1))</f>
        <v>204</v>
      </c>
      <c r="I965" s="96"/>
    </row>
    <row r="966" spans="1:12" x14ac:dyDescent="0.25">
      <c r="A966" t="s">
        <v>1303</v>
      </c>
      <c r="B966" t="s">
        <v>2567</v>
      </c>
      <c r="C966" s="2" t="s">
        <v>1076</v>
      </c>
      <c r="D966" s="3" t="s">
        <v>2016</v>
      </c>
      <c r="E966" t="s">
        <v>99</v>
      </c>
      <c r="F966" s="5">
        <v>153</v>
      </c>
      <c r="G966" s="5">
        <v>102</v>
      </c>
      <c r="H966" s="5">
        <v>204</v>
      </c>
      <c r="I966" s="96"/>
      <c r="L966" s="7"/>
    </row>
    <row r="967" spans="1:12" x14ac:dyDescent="0.25">
      <c r="A967" t="s">
        <v>94</v>
      </c>
      <c r="B967" t="s">
        <v>2567</v>
      </c>
      <c r="C967" s="2" t="s">
        <v>993</v>
      </c>
      <c r="D967" s="3" t="s">
        <v>1913</v>
      </c>
      <c r="E967" t="s">
        <v>99</v>
      </c>
      <c r="F967" s="2" t="str">
        <f>LEFT(D967,FIND(",",D967)-1)</f>
        <v>153</v>
      </c>
      <c r="G967" s="2" t="str">
        <f>MID(D967,FIND(",",D967)+1,FIND(",",D967,FIND(",",D967)+1)-FIND(",",D967)-1)</f>
        <v>50</v>
      </c>
      <c r="H967" s="2" t="str">
        <f>RIGHT(D967,LEN(D967)-FIND(",",D967,FIND(",",D967)+1))</f>
        <v>204</v>
      </c>
      <c r="I967" s="115"/>
    </row>
    <row r="968" spans="1:12" x14ac:dyDescent="0.25">
      <c r="A968" t="s">
        <v>992</v>
      </c>
      <c r="B968" t="s">
        <v>2567</v>
      </c>
      <c r="C968" s="2" t="s">
        <v>993</v>
      </c>
      <c r="D968" s="3" t="s">
        <v>1913</v>
      </c>
      <c r="E968" t="s">
        <v>99</v>
      </c>
      <c r="F968" s="2" t="str">
        <f>LEFT(D968,FIND(",",D968)-1)</f>
        <v>153</v>
      </c>
      <c r="G968" s="2" t="str">
        <f>MID(D968,FIND(",",D968)+1,FIND(",",D968,FIND(",",D968)+1)-FIND(",",D968)-1)</f>
        <v>50</v>
      </c>
      <c r="H968" s="2" t="str">
        <f>RIGHT(D968,LEN(D968)-FIND(",",D968,FIND(",",D968)+1))</f>
        <v>204</v>
      </c>
      <c r="I968" s="115"/>
    </row>
    <row r="969" spans="1:12" x14ac:dyDescent="0.25">
      <c r="A969" t="s">
        <v>1028</v>
      </c>
      <c r="B969" t="s">
        <v>2567</v>
      </c>
      <c r="C969" s="2" t="s">
        <v>1029</v>
      </c>
      <c r="D969" s="3" t="s">
        <v>1923</v>
      </c>
      <c r="E969" t="s">
        <v>99</v>
      </c>
      <c r="F969" s="2" t="str">
        <f>LEFT(D969,FIND(",",D969)-1)</f>
        <v>153</v>
      </c>
      <c r="G969" s="2" t="str">
        <f>MID(D969,FIND(",",D969)+1,FIND(",",D969,FIND(",",D969)+1)-FIND(",",D969)-1)</f>
        <v>50</v>
      </c>
      <c r="H969" s="2" t="str">
        <f>RIGHT(D969,LEN(D969)-FIND(",",D969,FIND(",",D969)+1))</f>
        <v>205</v>
      </c>
      <c r="I969" s="273"/>
    </row>
    <row r="970" spans="1:12" x14ac:dyDescent="0.25">
      <c r="A970" t="s">
        <v>1449</v>
      </c>
      <c r="B970" t="s">
        <v>2567</v>
      </c>
      <c r="C970" s="2" t="s">
        <v>993</v>
      </c>
      <c r="D970" s="3" t="s">
        <v>2178</v>
      </c>
      <c r="E970" t="s">
        <v>99</v>
      </c>
      <c r="F970" s="5">
        <v>153</v>
      </c>
      <c r="G970" s="5">
        <v>51</v>
      </c>
      <c r="H970" s="5">
        <v>204</v>
      </c>
      <c r="I970" s="449"/>
      <c r="L970" s="7"/>
    </row>
    <row r="971" spans="1:12" x14ac:dyDescent="0.25">
      <c r="A971" t="s">
        <v>998</v>
      </c>
      <c r="B971" t="s">
        <v>2567</v>
      </c>
      <c r="C971" s="2" t="s">
        <v>999</v>
      </c>
      <c r="D971" s="3" t="s">
        <v>1916</v>
      </c>
      <c r="E971" t="s">
        <v>99</v>
      </c>
      <c r="F971" s="2" t="str">
        <f>LEFT(D971,FIND(",",D971)-1)</f>
        <v>154</v>
      </c>
      <c r="G971" s="2" t="str">
        <f>MID(D971,FIND(",",D971)+1,FIND(",",D971,FIND(",",D971)+1)-FIND(",",D971)-1)</f>
        <v>50</v>
      </c>
      <c r="H971" s="2" t="str">
        <f>RIGHT(D971,LEN(D971)-FIND(",",D971,FIND(",",D971)+1))</f>
        <v>205</v>
      </c>
      <c r="I971" s="272"/>
    </row>
    <row r="972" spans="1:12" x14ac:dyDescent="0.25">
      <c r="A972" t="s">
        <v>1078</v>
      </c>
      <c r="B972" t="s">
        <v>2567</v>
      </c>
      <c r="C972" s="2" t="s">
        <v>1079</v>
      </c>
      <c r="D972" s="3" t="s">
        <v>1937</v>
      </c>
      <c r="E972" t="s">
        <v>99</v>
      </c>
      <c r="F972" s="2" t="str">
        <f>LEFT(D972,FIND(",",D972)-1)</f>
        <v>155</v>
      </c>
      <c r="G972" s="2" t="str">
        <f>MID(D972,FIND(",",D972)+1,FIND(",",D972,FIND(",",D972)+1)-FIND(",",D972)-1)</f>
        <v>48</v>
      </c>
      <c r="H972" s="2" t="str">
        <f>RIGHT(D972,LEN(D972)-FIND(",",D972,FIND(",",D972)+1))</f>
        <v>255</v>
      </c>
      <c r="I972" s="665"/>
    </row>
    <row r="973" spans="1:12" x14ac:dyDescent="0.25">
      <c r="A973" t="s">
        <v>1330</v>
      </c>
      <c r="B973" t="s">
        <v>2567</v>
      </c>
      <c r="C973" s="2" t="s">
        <v>2716</v>
      </c>
      <c r="D973" s="3" t="s">
        <v>2045</v>
      </c>
      <c r="E973" t="s">
        <v>99</v>
      </c>
      <c r="F973" s="5">
        <v>156</v>
      </c>
      <c r="G973" s="5">
        <v>38</v>
      </c>
      <c r="H973" s="5">
        <v>66</v>
      </c>
      <c r="I973" s="803"/>
      <c r="L973" s="7"/>
    </row>
    <row r="974" spans="1:12" x14ac:dyDescent="0.25">
      <c r="A974" t="s">
        <v>1298</v>
      </c>
      <c r="B974" t="s">
        <v>2567</v>
      </c>
      <c r="C974" s="2" t="s">
        <v>2717</v>
      </c>
      <c r="D974" s="3" t="s">
        <v>2011</v>
      </c>
      <c r="E974" t="s">
        <v>99</v>
      </c>
      <c r="F974" s="5">
        <v>158</v>
      </c>
      <c r="G974" s="5">
        <v>43</v>
      </c>
      <c r="H974" s="5">
        <v>105</v>
      </c>
      <c r="I974" s="351"/>
      <c r="L974" s="7"/>
    </row>
    <row r="975" spans="1:12" x14ac:dyDescent="0.25">
      <c r="A975" t="s">
        <v>1030</v>
      </c>
      <c r="B975" t="s">
        <v>2567</v>
      </c>
      <c r="C975" s="2" t="s">
        <v>1031</v>
      </c>
      <c r="D975" s="3" t="s">
        <v>2526</v>
      </c>
      <c r="E975" t="s">
        <v>99</v>
      </c>
      <c r="F975" s="2" t="str">
        <f>LEFT(D975,FIND(",",D975)-1)</f>
        <v>159</v>
      </c>
      <c r="G975" s="2" t="str">
        <f>MID(D975,FIND(",",D975)+1,FIND(",",D975,FIND(",",D975)+1)-FIND(",",D975)-1)</f>
        <v>121</v>
      </c>
      <c r="H975" s="2" t="str">
        <f>RIGHT(D975,LEN(D975)-FIND(",",D975,FIND(",",D975)+1))</f>
        <v>238</v>
      </c>
      <c r="I975" s="789"/>
    </row>
    <row r="976" spans="1:12" x14ac:dyDescent="0.25">
      <c r="A976" t="s">
        <v>1096</v>
      </c>
      <c r="B976" t="s">
        <v>2567</v>
      </c>
      <c r="C976" s="2" t="s">
        <v>1097</v>
      </c>
      <c r="D976" s="3" t="s">
        <v>1941</v>
      </c>
      <c r="E976" t="s">
        <v>99</v>
      </c>
      <c r="F976" s="2" t="str">
        <f>LEFT(D976,FIND(",",D976)-1)</f>
        <v>159</v>
      </c>
      <c r="G976" s="2" t="str">
        <f>MID(D976,FIND(",",D976)+1,FIND(",",D976,FIND(",",D976)+1)-FIND(",",D976)-1)</f>
        <v>95</v>
      </c>
      <c r="H976" s="2" t="str">
        <f>RIGHT(D976,LEN(D976)-FIND(",",D976,FIND(",",D976)+1))</f>
        <v>159</v>
      </c>
      <c r="I976" s="277"/>
    </row>
    <row r="977" spans="1:12" x14ac:dyDescent="0.25">
      <c r="A977" t="s">
        <v>96</v>
      </c>
      <c r="B977" t="s">
        <v>2567</v>
      </c>
      <c r="C977" s="2" t="s">
        <v>1077</v>
      </c>
      <c r="D977" s="3" t="s">
        <v>1935</v>
      </c>
      <c r="E977" t="s">
        <v>99</v>
      </c>
      <c r="F977" s="2" t="str">
        <f>LEFT(D977,FIND(",",D977)-1)</f>
        <v>160</v>
      </c>
      <c r="G977" s="2" t="str">
        <f>MID(D977,FIND(",",D977)+1,FIND(",",D977,FIND(",",D977)+1)-FIND(",",D977)-1)</f>
        <v>32</v>
      </c>
      <c r="H977" s="2" t="str">
        <f>RIGHT(D977,LEN(D977)-FIND(",",D977,FIND(",",D977)+1))</f>
        <v>240</v>
      </c>
      <c r="I977" s="559"/>
    </row>
    <row r="978" spans="1:12" x14ac:dyDescent="0.25">
      <c r="A978" t="s">
        <v>1508</v>
      </c>
      <c r="B978" t="s">
        <v>2567</v>
      </c>
      <c r="C978" s="2" t="s">
        <v>2718</v>
      </c>
      <c r="D978" s="3" t="s">
        <v>2231</v>
      </c>
      <c r="E978" t="s">
        <v>99</v>
      </c>
      <c r="F978" s="5">
        <v>163</v>
      </c>
      <c r="G978" s="5">
        <v>0</v>
      </c>
      <c r="H978" s="5">
        <v>110</v>
      </c>
      <c r="I978" s="838"/>
      <c r="L978" s="7"/>
    </row>
    <row r="979" spans="1:12" x14ac:dyDescent="0.25">
      <c r="A979" t="s">
        <v>1026</v>
      </c>
      <c r="B979" t="s">
        <v>2567</v>
      </c>
      <c r="C979" s="2" t="s">
        <v>1027</v>
      </c>
      <c r="D979" s="3" t="s">
        <v>2525</v>
      </c>
      <c r="E979" t="s">
        <v>99</v>
      </c>
      <c r="F979" s="2" t="str">
        <f>LEFT(D979,FIND(",",D979)-1)</f>
        <v>171</v>
      </c>
      <c r="G979" s="2" t="str">
        <f>MID(D979,FIND(",",D979)+1,FIND(",",D979,FIND(",",D979)+1)-FIND(",",D979)-1)</f>
        <v>130</v>
      </c>
      <c r="H979" s="2" t="str">
        <f>RIGHT(D979,LEN(D979)-FIND(",",D979,FIND(",",D979)+1))</f>
        <v>255</v>
      </c>
      <c r="I979" s="722"/>
    </row>
    <row r="980" spans="1:12" x14ac:dyDescent="0.25">
      <c r="A980" t="s">
        <v>1300</v>
      </c>
      <c r="B980" t="s">
        <v>2567</v>
      </c>
      <c r="C980" s="2" t="s">
        <v>2719</v>
      </c>
      <c r="D980" s="3" t="s">
        <v>2013</v>
      </c>
      <c r="E980" t="s">
        <v>99</v>
      </c>
      <c r="F980" s="5">
        <v>171</v>
      </c>
      <c r="G980" s="5">
        <v>38</v>
      </c>
      <c r="H980" s="5">
        <v>79</v>
      </c>
      <c r="I980" s="504"/>
      <c r="L980" s="7"/>
    </row>
    <row r="981" spans="1:12" x14ac:dyDescent="0.25">
      <c r="A981" t="s">
        <v>1106</v>
      </c>
      <c r="B981" t="s">
        <v>2567</v>
      </c>
      <c r="C981" s="2" t="s">
        <v>1107</v>
      </c>
      <c r="D981" s="3" t="s">
        <v>2542</v>
      </c>
      <c r="E981" t="s">
        <v>99</v>
      </c>
      <c r="F981" s="2" t="str">
        <f>LEFT(D981,FIND(",",D981)-1)</f>
        <v>173</v>
      </c>
      <c r="G981" s="2" t="str">
        <f>MID(D981,FIND(",",D981)+1,FIND(",",D981,FIND(",",D981)+1)-FIND(",",D981)-1)</f>
        <v>234</v>
      </c>
      <c r="H981" s="2" t="str">
        <f>RIGHT(D981,LEN(D981)-FIND(",",D981,FIND(",",D981)+1))</f>
        <v>234</v>
      </c>
      <c r="I981" s="498"/>
    </row>
    <row r="982" spans="1:12" x14ac:dyDescent="0.25">
      <c r="A982" t="s">
        <v>16</v>
      </c>
      <c r="B982" t="s">
        <v>2567</v>
      </c>
      <c r="C982" s="2" t="s">
        <v>1047</v>
      </c>
      <c r="D982" s="3" t="s">
        <v>1929</v>
      </c>
      <c r="E982" t="s">
        <v>99</v>
      </c>
      <c r="F982" s="2" t="str">
        <f>LEFT(D982,FIND(",",D982)-1)</f>
        <v>176</v>
      </c>
      <c r="G982" s="2" t="str">
        <f>MID(D982,FIND(",",D982)+1,FIND(",",D982,FIND(",",D982)+1)-FIND(",",D982)-1)</f>
        <v>48</v>
      </c>
      <c r="H982" s="2" t="str">
        <f>RIGHT(D982,LEN(D982)-FIND(",",D982,FIND(",",D982)+1))</f>
        <v>96</v>
      </c>
      <c r="I982" s="94"/>
    </row>
    <row r="983" spans="1:12" x14ac:dyDescent="0.25">
      <c r="A983" t="s">
        <v>996</v>
      </c>
      <c r="B983" t="s">
        <v>2567</v>
      </c>
      <c r="C983" s="2" t="s">
        <v>997</v>
      </c>
      <c r="D983" s="3" t="s">
        <v>1915</v>
      </c>
      <c r="E983" t="s">
        <v>99</v>
      </c>
      <c r="F983" s="2" t="str">
        <f>LEFT(D983,FIND(",",D983)-1)</f>
        <v>178</v>
      </c>
      <c r="G983" s="2" t="str">
        <f>MID(D983,FIND(",",D983)+1,FIND(",",D983,FIND(",",D983)+1)-FIND(",",D983)-1)</f>
        <v>58</v>
      </c>
      <c r="H983" s="2" t="str">
        <f>RIGHT(D983,LEN(D983)-FIND(",",D983,FIND(",",D983)+1))</f>
        <v>238</v>
      </c>
      <c r="I983" s="493"/>
    </row>
    <row r="984" spans="1:12" x14ac:dyDescent="0.25">
      <c r="A984" t="s">
        <v>1292</v>
      </c>
      <c r="B984" t="s">
        <v>2567</v>
      </c>
      <c r="C984" s="2" t="s">
        <v>2720</v>
      </c>
      <c r="D984" s="3" t="s">
        <v>2005</v>
      </c>
      <c r="E984" t="s">
        <v>99</v>
      </c>
      <c r="F984" s="5">
        <v>179</v>
      </c>
      <c r="G984" s="5">
        <v>133</v>
      </c>
      <c r="H984" s="5">
        <v>191</v>
      </c>
      <c r="I984" s="567"/>
      <c r="L984" s="7"/>
    </row>
    <row r="985" spans="1:12" x14ac:dyDescent="0.25">
      <c r="A985" t="s">
        <v>1019</v>
      </c>
      <c r="B985" t="s">
        <v>2567</v>
      </c>
      <c r="C985" s="2" t="s">
        <v>1020</v>
      </c>
      <c r="D985" s="3" t="s">
        <v>1921</v>
      </c>
      <c r="E985" t="s">
        <v>99</v>
      </c>
      <c r="F985" s="2" t="str">
        <f>LEFT(D985,FIND(",",D985)-1)</f>
        <v>180</v>
      </c>
      <c r="G985" s="2" t="str">
        <f>MID(D985,FIND(",",D985)+1,FIND(",",D985,FIND(",",D985)+1)-FIND(",",D985)-1)</f>
        <v>82</v>
      </c>
      <c r="H985" s="2" t="str">
        <f>RIGHT(D985,LEN(D985)-FIND(",",D985,FIND(",",D985)+1))</f>
        <v>205</v>
      </c>
      <c r="I985" s="92"/>
    </row>
    <row r="986" spans="1:12" x14ac:dyDescent="0.25">
      <c r="A986" t="s">
        <v>1490</v>
      </c>
      <c r="B986" t="s">
        <v>2567</v>
      </c>
      <c r="C986" s="2" t="s">
        <v>2721</v>
      </c>
      <c r="D986" s="3" t="s">
        <v>2213</v>
      </c>
      <c r="E986" t="s">
        <v>99</v>
      </c>
      <c r="F986" s="5">
        <v>181</v>
      </c>
      <c r="G986" s="5">
        <v>130</v>
      </c>
      <c r="H986" s="5">
        <v>148</v>
      </c>
      <c r="I986" s="525"/>
      <c r="L986" s="7"/>
    </row>
    <row r="987" spans="1:12" x14ac:dyDescent="0.25">
      <c r="A987" t="s">
        <v>1498</v>
      </c>
      <c r="B987" t="s">
        <v>2567</v>
      </c>
      <c r="C987" s="2" t="s">
        <v>2722</v>
      </c>
      <c r="D987" s="3" t="s">
        <v>2220</v>
      </c>
      <c r="E987" t="s">
        <v>99</v>
      </c>
      <c r="F987" s="5">
        <v>181</v>
      </c>
      <c r="G987" s="5">
        <v>51</v>
      </c>
      <c r="H987" s="5">
        <v>138</v>
      </c>
      <c r="I987" s="526"/>
      <c r="L987" s="7"/>
    </row>
    <row r="988" spans="1:12" x14ac:dyDescent="0.25">
      <c r="A988" t="s">
        <v>1013</v>
      </c>
      <c r="B988" t="s">
        <v>2567</v>
      </c>
      <c r="C988" s="2" t="s">
        <v>1014</v>
      </c>
      <c r="D988" s="3" t="s">
        <v>1600</v>
      </c>
      <c r="E988" t="s">
        <v>99</v>
      </c>
      <c r="F988" s="2" t="str">
        <f>LEFT(D988,FIND(",",D988)-1)</f>
        <v>186</v>
      </c>
      <c r="G988" s="2" t="str">
        <f>MID(D988,FIND(",",D988)+1,FIND(",",D988,FIND(",",D988)+1)-FIND(",",D988)-1)</f>
        <v xml:space="preserve"> 85</v>
      </c>
      <c r="H988" s="2" t="str">
        <f>RIGHT(D988,LEN(D988)-FIND(",",D988,FIND(",",D988)+1))</f>
        <v xml:space="preserve"> 211</v>
      </c>
      <c r="I988" s="125"/>
    </row>
    <row r="989" spans="1:12" x14ac:dyDescent="0.25">
      <c r="A989" t="s">
        <v>95</v>
      </c>
      <c r="B989" t="s">
        <v>2567</v>
      </c>
      <c r="C989" s="2" t="s">
        <v>1014</v>
      </c>
      <c r="D989" s="3" t="s">
        <v>1919</v>
      </c>
      <c r="E989" t="s">
        <v>99</v>
      </c>
      <c r="F989" s="2" t="str">
        <f>LEFT(D989,FIND(",",D989)-1)</f>
        <v>186</v>
      </c>
      <c r="G989" s="2" t="str">
        <f>MID(D989,FIND(",",D989)+1,FIND(",",D989,FIND(",",D989)+1)-FIND(",",D989)-1)</f>
        <v>85</v>
      </c>
      <c r="H989" s="2" t="str">
        <f>RIGHT(D989,LEN(D989)-FIND(",",D989,FIND(",",D989)+1))</f>
        <v>211</v>
      </c>
      <c r="I989" s="125"/>
    </row>
    <row r="990" spans="1:12" x14ac:dyDescent="0.25">
      <c r="A990" t="s">
        <v>1013</v>
      </c>
      <c r="B990" t="s">
        <v>2567</v>
      </c>
      <c r="C990" s="2" t="s">
        <v>1014</v>
      </c>
      <c r="D990" s="3" t="s">
        <v>1919</v>
      </c>
      <c r="E990" t="s">
        <v>99</v>
      </c>
      <c r="F990" s="2" t="str">
        <f>LEFT(D990,FIND(",",D990)-1)</f>
        <v>186</v>
      </c>
      <c r="G990" s="2" t="str">
        <f>MID(D990,FIND(",",D990)+1,FIND(",",D990,FIND(",",D990)+1)-FIND(",",D990)-1)</f>
        <v>85</v>
      </c>
      <c r="H990" s="2" t="str">
        <f>RIGHT(D990,LEN(D990)-FIND(",",D990,FIND(",",D990)+1))</f>
        <v>211</v>
      </c>
      <c r="I990" s="125"/>
    </row>
    <row r="991" spans="1:12" x14ac:dyDescent="0.25">
      <c r="A991" t="s">
        <v>1365</v>
      </c>
      <c r="B991" t="s">
        <v>2567</v>
      </c>
      <c r="C991" s="2" t="s">
        <v>2723</v>
      </c>
      <c r="D991" s="3" t="s">
        <v>2089</v>
      </c>
      <c r="E991" t="s">
        <v>99</v>
      </c>
      <c r="F991" s="5">
        <v>189</v>
      </c>
      <c r="G991" s="5">
        <v>51</v>
      </c>
      <c r="H991" s="5">
        <v>163</v>
      </c>
      <c r="I991" s="808"/>
      <c r="L991" s="7"/>
    </row>
    <row r="992" spans="1:12" x14ac:dyDescent="0.25">
      <c r="A992" t="s">
        <v>1486</v>
      </c>
      <c r="B992" t="s">
        <v>2567</v>
      </c>
      <c r="C992" s="2" t="s">
        <v>2724</v>
      </c>
      <c r="D992" s="3" t="s">
        <v>2209</v>
      </c>
      <c r="E992" t="s">
        <v>99</v>
      </c>
      <c r="F992" s="5">
        <v>191</v>
      </c>
      <c r="G992" s="5">
        <v>0</v>
      </c>
      <c r="H992" s="5">
        <v>255</v>
      </c>
      <c r="I992" s="754"/>
      <c r="L992" s="7"/>
    </row>
    <row r="993" spans="1:12" x14ac:dyDescent="0.25">
      <c r="A993" t="s">
        <v>994</v>
      </c>
      <c r="B993" t="s">
        <v>2567</v>
      </c>
      <c r="C993" s="2" t="s">
        <v>995</v>
      </c>
      <c r="D993" s="3" t="s">
        <v>1914</v>
      </c>
      <c r="E993" t="s">
        <v>99</v>
      </c>
      <c r="F993" s="2" t="str">
        <f>LEFT(D993,FIND(",",D993)-1)</f>
        <v>191</v>
      </c>
      <c r="G993" s="2" t="str">
        <f>MID(D993,FIND(",",D993)+1,FIND(",",D993,FIND(",",D993)+1)-FIND(",",D993)-1)</f>
        <v>62</v>
      </c>
      <c r="H993" s="2" t="str">
        <f>RIGHT(D993,LEN(D993)-FIND(",",D993,FIND(",",D993)+1))</f>
        <v>255</v>
      </c>
      <c r="I993" s="417"/>
    </row>
    <row r="994" spans="1:12" x14ac:dyDescent="0.25">
      <c r="A994" t="s">
        <v>2001</v>
      </c>
      <c r="B994" t="s">
        <v>2567</v>
      </c>
      <c r="C994" s="2" t="s">
        <v>2725</v>
      </c>
      <c r="D994" s="3" t="s">
        <v>2245</v>
      </c>
      <c r="E994" t="s">
        <v>99</v>
      </c>
      <c r="F994" s="5">
        <v>194</v>
      </c>
      <c r="G994" s="5">
        <v>84</v>
      </c>
      <c r="H994" s="5">
        <v>194</v>
      </c>
      <c r="I994" s="828"/>
      <c r="L994" s="7"/>
    </row>
    <row r="995" spans="1:12" x14ac:dyDescent="0.25">
      <c r="A995" t="s">
        <v>102</v>
      </c>
      <c r="B995" t="s">
        <v>2567</v>
      </c>
      <c r="C995" s="2" t="s">
        <v>900</v>
      </c>
      <c r="D995" s="3" t="s">
        <v>1882</v>
      </c>
      <c r="E995" t="s">
        <v>99</v>
      </c>
      <c r="F995" s="2" t="str">
        <f>LEFT(D995,FIND(",",D995)-1)</f>
        <v>199</v>
      </c>
      <c r="G995" s="2" t="str">
        <f>MID(D995,FIND(",",D995)+1,FIND(",",D995,FIND(",",D995)+1)-FIND(",",D995)-1)</f>
        <v>21</v>
      </c>
      <c r="H995" s="2" t="str">
        <f>RIGHT(D995,LEN(D995)-FIND(",",D995,FIND(",",D995)+1))</f>
        <v>133</v>
      </c>
      <c r="I995" s="116"/>
    </row>
    <row r="996" spans="1:12" x14ac:dyDescent="0.25">
      <c r="A996" t="s">
        <v>1110</v>
      </c>
      <c r="B996" t="s">
        <v>2567</v>
      </c>
      <c r="C996" s="2" t="s">
        <v>1111</v>
      </c>
      <c r="D996" s="3" t="s">
        <v>1945</v>
      </c>
      <c r="E996" t="s">
        <v>99</v>
      </c>
      <c r="F996" s="2" t="str">
        <f>LEFT(D996,FIND(",",D996)-1)</f>
        <v>204</v>
      </c>
      <c r="G996" s="2" t="str">
        <f>MID(D996,FIND(",",D996)+1,FIND(",",D996,FIND(",",D996)+1)-FIND(",",D996)-1)</f>
        <v>50</v>
      </c>
      <c r="H996" s="2" t="str">
        <f>RIGHT(D996,LEN(D996)-FIND(",",D996,FIND(",",D996)+1))</f>
        <v>153</v>
      </c>
      <c r="I996" s="561"/>
    </row>
    <row r="997" spans="1:12" x14ac:dyDescent="0.25">
      <c r="A997" t="s">
        <v>1408</v>
      </c>
      <c r="B997" t="s">
        <v>2567</v>
      </c>
      <c r="C997" s="2" t="s">
        <v>2726</v>
      </c>
      <c r="D997" s="3" t="s">
        <v>2136</v>
      </c>
      <c r="E997" t="s">
        <v>99</v>
      </c>
      <c r="F997" s="5">
        <v>204</v>
      </c>
      <c r="G997" s="5">
        <v>97</v>
      </c>
      <c r="H997" s="5">
        <v>125</v>
      </c>
      <c r="I997" s="445"/>
      <c r="L997" s="7"/>
    </row>
    <row r="998" spans="1:12" x14ac:dyDescent="0.25">
      <c r="A998" t="s">
        <v>1043</v>
      </c>
      <c r="B998" t="s">
        <v>2567</v>
      </c>
      <c r="C998" s="2" t="s">
        <v>1044</v>
      </c>
      <c r="D998" s="3" t="s">
        <v>1927</v>
      </c>
      <c r="E998" t="s">
        <v>99</v>
      </c>
      <c r="F998" s="2" t="str">
        <f t="shared" ref="F998:F1004" si="162">LEFT(D998,FIND(",",D998)-1)</f>
        <v>205</v>
      </c>
      <c r="G998" s="2" t="str">
        <f t="shared" ref="G998:G1004" si="163">MID(D998,FIND(",",D998)+1,FIND(",",D998,FIND(",",D998)+1)-FIND(",",D998)-1)</f>
        <v>0</v>
      </c>
      <c r="H998" s="2" t="str">
        <f t="shared" ref="H998:H1004" si="164">RIGHT(D998,LEN(D998)-FIND(",",D998,FIND(",",D998)+1))</f>
        <v>205</v>
      </c>
      <c r="I998" s="663"/>
    </row>
    <row r="999" spans="1:12" x14ac:dyDescent="0.25">
      <c r="A999" t="s">
        <v>1063</v>
      </c>
      <c r="B999" t="s">
        <v>2567</v>
      </c>
      <c r="C999" s="2" t="s">
        <v>1064</v>
      </c>
      <c r="D999" s="3" t="s">
        <v>2531</v>
      </c>
      <c r="E999" t="s">
        <v>99</v>
      </c>
      <c r="F999" s="2" t="str">
        <f t="shared" si="162"/>
        <v>205</v>
      </c>
      <c r="G999" s="2" t="str">
        <f t="shared" si="163"/>
        <v>105</v>
      </c>
      <c r="H999" s="2" t="str">
        <f t="shared" si="164"/>
        <v>201</v>
      </c>
      <c r="I999" s="664"/>
    </row>
    <row r="1000" spans="1:12" x14ac:dyDescent="0.25">
      <c r="A1000" t="s">
        <v>1072</v>
      </c>
      <c r="B1000" t="s">
        <v>2567</v>
      </c>
      <c r="C1000" s="2" t="s">
        <v>1073</v>
      </c>
      <c r="D1000" s="3" t="s">
        <v>2534</v>
      </c>
      <c r="E1000" t="s">
        <v>99</v>
      </c>
      <c r="F1000" s="2" t="str">
        <f t="shared" si="162"/>
        <v>205</v>
      </c>
      <c r="G1000" s="2" t="str">
        <f t="shared" si="163"/>
        <v>150</v>
      </c>
      <c r="H1000" s="2" t="str">
        <f t="shared" si="164"/>
        <v>205</v>
      </c>
      <c r="I1000" s="420"/>
    </row>
    <row r="1001" spans="1:12" x14ac:dyDescent="0.25">
      <c r="A1001" t="s">
        <v>1091</v>
      </c>
      <c r="B1001" t="s">
        <v>2567</v>
      </c>
      <c r="C1001" s="2" t="s">
        <v>1092</v>
      </c>
      <c r="D1001" s="3" t="s">
        <v>2538</v>
      </c>
      <c r="E1001" t="s">
        <v>99</v>
      </c>
      <c r="F1001" s="2" t="str">
        <f t="shared" si="162"/>
        <v>205</v>
      </c>
      <c r="G1001" s="2" t="str">
        <f t="shared" si="163"/>
        <v>181</v>
      </c>
      <c r="H1001" s="2" t="str">
        <f t="shared" si="164"/>
        <v>205</v>
      </c>
      <c r="I1001" s="497"/>
    </row>
    <row r="1002" spans="1:12" x14ac:dyDescent="0.25">
      <c r="A1002" t="s">
        <v>1009</v>
      </c>
      <c r="B1002" t="s">
        <v>2567</v>
      </c>
      <c r="C1002" s="2" t="s">
        <v>1010</v>
      </c>
      <c r="D1002" s="3" t="s">
        <v>2522</v>
      </c>
      <c r="E1002" t="s">
        <v>99</v>
      </c>
      <c r="F1002" s="2" t="str">
        <f t="shared" si="162"/>
        <v>205</v>
      </c>
      <c r="G1002" s="2" t="str">
        <f t="shared" si="163"/>
        <v>193</v>
      </c>
      <c r="H1002" s="2" t="str">
        <f t="shared" si="164"/>
        <v>197</v>
      </c>
      <c r="I1002" s="788"/>
    </row>
    <row r="1003" spans="1:12" x14ac:dyDescent="0.25">
      <c r="A1003" t="s">
        <v>1052</v>
      </c>
      <c r="B1003" t="s">
        <v>2567</v>
      </c>
      <c r="C1003" s="2" t="s">
        <v>1053</v>
      </c>
      <c r="D1003" s="3" t="s">
        <v>1932</v>
      </c>
      <c r="E1003" t="s">
        <v>99</v>
      </c>
      <c r="F1003" s="2" t="str">
        <f t="shared" si="162"/>
        <v>205</v>
      </c>
      <c r="G1003" s="2" t="str">
        <f t="shared" si="163"/>
        <v>41</v>
      </c>
      <c r="H1003" s="2" t="str">
        <f t="shared" si="164"/>
        <v>144</v>
      </c>
      <c r="I1003" s="419"/>
    </row>
    <row r="1004" spans="1:12" x14ac:dyDescent="0.25">
      <c r="A1004" t="s">
        <v>1017</v>
      </c>
      <c r="B1004" t="s">
        <v>2567</v>
      </c>
      <c r="C1004" s="2" t="s">
        <v>1018</v>
      </c>
      <c r="D1004" s="3" t="s">
        <v>1920</v>
      </c>
      <c r="E1004" t="s">
        <v>99</v>
      </c>
      <c r="F1004" s="2" t="str">
        <f t="shared" si="162"/>
        <v>209</v>
      </c>
      <c r="G1004" s="2" t="str">
        <f t="shared" si="163"/>
        <v>95</v>
      </c>
      <c r="H1004" s="2" t="str">
        <f t="shared" si="164"/>
        <v>238</v>
      </c>
      <c r="I1004" s="494"/>
    </row>
    <row r="1005" spans="1:12" x14ac:dyDescent="0.25">
      <c r="A1005" t="s">
        <v>1516</v>
      </c>
      <c r="B1005" t="s">
        <v>2567</v>
      </c>
      <c r="C1005" s="2" t="s">
        <v>2727</v>
      </c>
      <c r="D1005" s="3" t="s">
        <v>2239</v>
      </c>
      <c r="E1005" t="s">
        <v>99</v>
      </c>
      <c r="F1005" s="5">
        <v>212</v>
      </c>
      <c r="G1005" s="5">
        <v>115</v>
      </c>
      <c r="H1005" s="5">
        <v>212</v>
      </c>
      <c r="I1005" s="757"/>
      <c r="L1005" s="7"/>
    </row>
    <row r="1006" spans="1:12" x14ac:dyDescent="0.25">
      <c r="A1006" t="s">
        <v>1105</v>
      </c>
      <c r="B1006" t="s">
        <v>2567</v>
      </c>
      <c r="C1006" s="2" t="s">
        <v>1086</v>
      </c>
      <c r="D1006" s="3" t="s">
        <v>1595</v>
      </c>
      <c r="E1006" t="s">
        <v>99</v>
      </c>
      <c r="F1006" s="2" t="str">
        <f>LEFT(D1006,FIND(",",D1006)-1)</f>
        <v>216</v>
      </c>
      <c r="G1006" s="2" t="str">
        <f>MID(D1006,FIND(",",D1006)+1,FIND(",",D1006,FIND(",",D1006)+1)-FIND(",",D1006)-1)</f>
        <v xml:space="preserve"> 191</v>
      </c>
      <c r="H1006" s="2" t="str">
        <f>RIGHT(D1006,LEN(D1006)-FIND(",",D1006,FIND(",",D1006)+1))</f>
        <v xml:space="preserve"> 216</v>
      </c>
      <c r="I1006" s="186"/>
    </row>
    <row r="1007" spans="1:12" x14ac:dyDescent="0.25">
      <c r="A1007" t="s">
        <v>97</v>
      </c>
      <c r="B1007" t="s">
        <v>2567</v>
      </c>
      <c r="C1007" s="2" t="s">
        <v>1086</v>
      </c>
      <c r="D1007" s="3" t="s">
        <v>2304</v>
      </c>
      <c r="E1007" t="s">
        <v>99</v>
      </c>
      <c r="F1007" s="2" t="str">
        <f>LEFT(D1007,FIND(",",D1007)-1)</f>
        <v>216</v>
      </c>
      <c r="G1007" s="2" t="str">
        <f>MID(D1007,FIND(",",D1007)+1,FIND(",",D1007,FIND(",",D1007)+1)-FIND(",",D1007)-1)</f>
        <v>191</v>
      </c>
      <c r="H1007" s="2" t="str">
        <f>RIGHT(D1007,LEN(D1007)-FIND(",",D1007,FIND(",",D1007)+1))</f>
        <v>216</v>
      </c>
      <c r="I1007" s="186"/>
    </row>
    <row r="1008" spans="1:12" x14ac:dyDescent="0.25">
      <c r="A1008" t="s">
        <v>97</v>
      </c>
      <c r="B1008" t="s">
        <v>2567</v>
      </c>
      <c r="C1008" s="2" t="s">
        <v>1086</v>
      </c>
      <c r="D1008" s="3" t="s">
        <v>2304</v>
      </c>
      <c r="E1008" t="s">
        <v>99</v>
      </c>
      <c r="F1008" s="2" t="str">
        <f>LEFT(D1008,FIND(",",D1008)-1)</f>
        <v>216</v>
      </c>
      <c r="G1008" s="2" t="str">
        <f>MID(D1008,FIND(",",D1008)+1,FIND(",",D1008,FIND(",",D1008)+1)-FIND(",",D1008)-1)</f>
        <v>191</v>
      </c>
      <c r="H1008" s="2" t="str">
        <f>RIGHT(D1008,LEN(D1008)-FIND(",",D1008,FIND(",",D1008)+1))</f>
        <v>216</v>
      </c>
      <c r="I1008" s="186"/>
    </row>
    <row r="1009" spans="1:12" x14ac:dyDescent="0.25">
      <c r="A1009" t="s">
        <v>1105</v>
      </c>
      <c r="B1009" t="s">
        <v>2567</v>
      </c>
      <c r="C1009" s="2" t="s">
        <v>1086</v>
      </c>
      <c r="D1009" s="3" t="s">
        <v>2304</v>
      </c>
      <c r="E1009" t="s">
        <v>99</v>
      </c>
      <c r="F1009" s="2" t="str">
        <f>LEFT(D1009,FIND(",",D1009)-1)</f>
        <v>216</v>
      </c>
      <c r="G1009" s="2" t="str">
        <f>MID(D1009,FIND(",",D1009)+1,FIND(",",D1009,FIND(",",D1009)+1)-FIND(",",D1009)-1)</f>
        <v>191</v>
      </c>
      <c r="H1009" s="2" t="str">
        <f>RIGHT(D1009,LEN(D1009)-FIND(",",D1009,FIND(",",D1009)+1))</f>
        <v>216</v>
      </c>
      <c r="I1009" s="186"/>
    </row>
    <row r="1010" spans="1:12" x14ac:dyDescent="0.25">
      <c r="A1010" t="s">
        <v>1352</v>
      </c>
      <c r="B1010" t="s">
        <v>2567</v>
      </c>
      <c r="C1010" s="2" t="s">
        <v>2728</v>
      </c>
      <c r="D1010" s="3" t="s">
        <v>2075</v>
      </c>
      <c r="E1010" t="s">
        <v>99</v>
      </c>
      <c r="F1010" s="5">
        <v>217</v>
      </c>
      <c r="G1010" s="5">
        <v>145</v>
      </c>
      <c r="H1010" s="5">
        <v>240</v>
      </c>
      <c r="I1010" s="574"/>
      <c r="L1010" s="7"/>
    </row>
    <row r="1011" spans="1:12" x14ac:dyDescent="0.25">
      <c r="A1011" t="s">
        <v>1057</v>
      </c>
      <c r="B1011" t="s">
        <v>2567</v>
      </c>
      <c r="C1011" s="2" t="s">
        <v>1056</v>
      </c>
      <c r="D1011" s="3" t="s">
        <v>1598</v>
      </c>
      <c r="E1011" t="s">
        <v>99</v>
      </c>
      <c r="F1011" s="2" t="str">
        <f t="shared" ref="F1011:F1019" si="165">LEFT(D1011,FIND(",",D1011)-1)</f>
        <v>218</v>
      </c>
      <c r="G1011" s="2" t="str">
        <f t="shared" ref="G1011:G1019" si="166">MID(D1011,FIND(",",D1011)+1,FIND(",",D1011,FIND(",",D1011)+1)-FIND(",",D1011)-1)</f>
        <v xml:space="preserve"> 112</v>
      </c>
      <c r="H1011" s="2" t="str">
        <f t="shared" ref="H1011:H1019" si="167">RIGHT(D1011,LEN(D1011)-FIND(",",D1011,FIND(",",D1011)+1))</f>
        <v xml:space="preserve"> 214</v>
      </c>
      <c r="I1011" s="30"/>
    </row>
    <row r="1012" spans="1:12" x14ac:dyDescent="0.25">
      <c r="A1012" t="s">
        <v>101</v>
      </c>
      <c r="B1012" t="s">
        <v>2567</v>
      </c>
      <c r="C1012" s="2" t="s">
        <v>1056</v>
      </c>
      <c r="D1012" s="3" t="s">
        <v>2307</v>
      </c>
      <c r="E1012" t="s">
        <v>99</v>
      </c>
      <c r="F1012" s="2" t="str">
        <f t="shared" si="165"/>
        <v>218</v>
      </c>
      <c r="G1012" s="2" t="str">
        <f t="shared" si="166"/>
        <v>112</v>
      </c>
      <c r="H1012" s="2" t="str">
        <f t="shared" si="167"/>
        <v>214</v>
      </c>
      <c r="I1012" s="30"/>
    </row>
    <row r="1013" spans="1:12" x14ac:dyDescent="0.25">
      <c r="A1013" t="s">
        <v>101</v>
      </c>
      <c r="B1013" t="s">
        <v>2567</v>
      </c>
      <c r="C1013" s="2" t="s">
        <v>1056</v>
      </c>
      <c r="D1013" s="3" t="s">
        <v>2307</v>
      </c>
      <c r="E1013" t="s">
        <v>99</v>
      </c>
      <c r="F1013" s="2" t="str">
        <f t="shared" si="165"/>
        <v>218</v>
      </c>
      <c r="G1013" s="2" t="str">
        <f t="shared" si="166"/>
        <v>112</v>
      </c>
      <c r="H1013" s="2" t="str">
        <f t="shared" si="167"/>
        <v>214</v>
      </c>
      <c r="I1013" s="30"/>
    </row>
    <row r="1014" spans="1:12" x14ac:dyDescent="0.25">
      <c r="A1014" t="s">
        <v>103</v>
      </c>
      <c r="B1014" t="s">
        <v>2567</v>
      </c>
      <c r="C1014" s="2" t="s">
        <v>920</v>
      </c>
      <c r="D1014" s="3" t="s">
        <v>2308</v>
      </c>
      <c r="E1014" t="s">
        <v>99</v>
      </c>
      <c r="F1014" s="2" t="str">
        <f t="shared" si="165"/>
        <v>219</v>
      </c>
      <c r="G1014" s="2" t="str">
        <f t="shared" si="166"/>
        <v>112</v>
      </c>
      <c r="H1014" s="2" t="str">
        <f t="shared" si="167"/>
        <v>147</v>
      </c>
      <c r="I1014" s="98"/>
    </row>
    <row r="1015" spans="1:12" x14ac:dyDescent="0.25">
      <c r="A1015" t="s">
        <v>1100</v>
      </c>
      <c r="B1015" t="s">
        <v>2567</v>
      </c>
      <c r="C1015" s="2" t="s">
        <v>920</v>
      </c>
      <c r="D1015" s="3" t="s">
        <v>2308</v>
      </c>
      <c r="E1015" t="s">
        <v>99</v>
      </c>
      <c r="F1015" s="2" t="str">
        <f t="shared" si="165"/>
        <v>219</v>
      </c>
      <c r="G1015" s="2" t="str">
        <f t="shared" si="166"/>
        <v>112</v>
      </c>
      <c r="H1015" s="2" t="str">
        <f t="shared" si="167"/>
        <v>147</v>
      </c>
      <c r="I1015" s="98"/>
    </row>
    <row r="1016" spans="1:12" x14ac:dyDescent="0.25">
      <c r="A1016" t="s">
        <v>1057</v>
      </c>
      <c r="B1016" t="s">
        <v>2567</v>
      </c>
      <c r="C1016" s="2" t="s">
        <v>1058</v>
      </c>
      <c r="D1016" s="3" t="s">
        <v>2528</v>
      </c>
      <c r="E1016" t="s">
        <v>99</v>
      </c>
      <c r="F1016" s="2" t="str">
        <f t="shared" si="165"/>
        <v>219</v>
      </c>
      <c r="G1016" s="2" t="str">
        <f t="shared" si="166"/>
        <v>112</v>
      </c>
      <c r="H1016" s="2" t="str">
        <f t="shared" si="167"/>
        <v>219</v>
      </c>
      <c r="I1016" s="558"/>
    </row>
    <row r="1017" spans="1:12" x14ac:dyDescent="0.25">
      <c r="A1017" t="s">
        <v>1103</v>
      </c>
      <c r="B1017" t="s">
        <v>2567</v>
      </c>
      <c r="C1017" s="2" t="s">
        <v>1067</v>
      </c>
      <c r="D1017" s="3" t="s">
        <v>1596</v>
      </c>
      <c r="E1017" t="s">
        <v>99</v>
      </c>
      <c r="F1017" s="2" t="str">
        <f t="shared" si="165"/>
        <v>221</v>
      </c>
      <c r="G1017" s="2" t="str">
        <f t="shared" si="166"/>
        <v xml:space="preserve"> 160</v>
      </c>
      <c r="H1017" s="2" t="str">
        <f t="shared" si="167"/>
        <v xml:space="preserve"> 221</v>
      </c>
      <c r="I1017" s="218"/>
    </row>
    <row r="1018" spans="1:12" x14ac:dyDescent="0.25">
      <c r="A1018" t="s">
        <v>98</v>
      </c>
      <c r="B1018" t="s">
        <v>2567</v>
      </c>
      <c r="C1018" s="2" t="s">
        <v>1067</v>
      </c>
      <c r="D1018" s="3" t="s">
        <v>2305</v>
      </c>
      <c r="E1018" t="s">
        <v>99</v>
      </c>
      <c r="F1018" s="2" t="str">
        <f t="shared" si="165"/>
        <v>221</v>
      </c>
      <c r="G1018" s="2" t="str">
        <f t="shared" si="166"/>
        <v>160</v>
      </c>
      <c r="H1018" s="2" t="str">
        <f t="shared" si="167"/>
        <v>221</v>
      </c>
      <c r="I1018" s="218"/>
    </row>
    <row r="1019" spans="1:12" x14ac:dyDescent="0.25">
      <c r="A1019" t="s">
        <v>98</v>
      </c>
      <c r="B1019" t="s">
        <v>2567</v>
      </c>
      <c r="C1019" s="2" t="s">
        <v>1067</v>
      </c>
      <c r="D1019" s="3" t="s">
        <v>2305</v>
      </c>
      <c r="E1019" t="s">
        <v>99</v>
      </c>
      <c r="F1019" s="2" t="str">
        <f t="shared" si="165"/>
        <v>221</v>
      </c>
      <c r="G1019" s="2" t="str">
        <f t="shared" si="166"/>
        <v>160</v>
      </c>
      <c r="H1019" s="2" t="str">
        <f t="shared" si="167"/>
        <v>221</v>
      </c>
      <c r="I1019" s="218"/>
    </row>
    <row r="1020" spans="1:12" x14ac:dyDescent="0.25">
      <c r="A1020" t="s">
        <v>1391</v>
      </c>
      <c r="B1020" t="s">
        <v>2567</v>
      </c>
      <c r="C1020" s="2" t="s">
        <v>2729</v>
      </c>
      <c r="D1020" s="3" t="s">
        <v>2115</v>
      </c>
      <c r="E1020" t="s">
        <v>99</v>
      </c>
      <c r="F1020" s="5">
        <v>222</v>
      </c>
      <c r="G1020" s="5">
        <v>48</v>
      </c>
      <c r="H1020" s="5">
        <v>99</v>
      </c>
      <c r="I1020" s="810"/>
      <c r="L1020" s="7"/>
    </row>
    <row r="1021" spans="1:12" x14ac:dyDescent="0.25">
      <c r="A1021" t="s">
        <v>1499</v>
      </c>
      <c r="B1021" t="s">
        <v>2567</v>
      </c>
      <c r="C1021" s="2" t="s">
        <v>2730</v>
      </c>
      <c r="D1021" s="3" t="s">
        <v>2221</v>
      </c>
      <c r="E1021" t="s">
        <v>99</v>
      </c>
      <c r="F1021" s="5">
        <v>222</v>
      </c>
      <c r="G1021" s="5">
        <v>82</v>
      </c>
      <c r="H1021" s="5">
        <v>133</v>
      </c>
      <c r="I1021" s="831"/>
      <c r="L1021" s="7"/>
    </row>
    <row r="1022" spans="1:12" x14ac:dyDescent="0.25">
      <c r="A1022" t="s">
        <v>1348</v>
      </c>
      <c r="B1022" t="s">
        <v>2567</v>
      </c>
      <c r="C1022" s="2" t="s">
        <v>2731</v>
      </c>
      <c r="D1022" s="3" t="s">
        <v>2071</v>
      </c>
      <c r="E1022" t="s">
        <v>99</v>
      </c>
      <c r="F1022" s="5">
        <v>222</v>
      </c>
      <c r="G1022" s="5">
        <v>92</v>
      </c>
      <c r="H1022" s="5">
        <v>130</v>
      </c>
      <c r="I1022" s="806"/>
      <c r="L1022" s="7"/>
    </row>
    <row r="1023" spans="1:12" x14ac:dyDescent="0.25">
      <c r="A1023" t="s">
        <v>1015</v>
      </c>
      <c r="B1023" t="s">
        <v>2567</v>
      </c>
      <c r="C1023" s="2" t="s">
        <v>1016</v>
      </c>
      <c r="D1023" s="3" t="s">
        <v>2524</v>
      </c>
      <c r="E1023" t="s">
        <v>99</v>
      </c>
      <c r="F1023" s="2" t="str">
        <f>LEFT(D1023,FIND(",",D1023)-1)</f>
        <v>224</v>
      </c>
      <c r="G1023" s="2" t="str">
        <f>MID(D1023,FIND(",",D1023)+1,FIND(",",D1023,FIND(",",D1023)+1)-FIND(",",D1023)-1)</f>
        <v>102</v>
      </c>
      <c r="H1023" s="2" t="str">
        <f>RIGHT(D1023,LEN(D1023)-FIND(",",D1023,FIND(",",D1023)+1))</f>
        <v>255</v>
      </c>
      <c r="I1023" s="418"/>
    </row>
    <row r="1024" spans="1:12" x14ac:dyDescent="0.25">
      <c r="A1024" t="s">
        <v>1535</v>
      </c>
      <c r="B1024" t="s">
        <v>2567</v>
      </c>
      <c r="C1024" s="2" t="s">
        <v>1036</v>
      </c>
      <c r="D1024" s="3" t="s">
        <v>1594</v>
      </c>
      <c r="E1024" t="s">
        <v>99</v>
      </c>
      <c r="F1024" s="2" t="str">
        <f>LEFT(D1024,FIND(",",D1024)-1)</f>
        <v>230</v>
      </c>
      <c r="G1024" s="2" t="str">
        <f>MID(D1024,FIND(",",D1024)+1,FIND(",",D1024,FIND(",",D1024)+1)-FIND(",",D1024)-1)</f>
        <v xml:space="preserve"> 230</v>
      </c>
      <c r="H1024" s="2" t="str">
        <f>RIGHT(D1024,LEN(D1024)-FIND(",",D1024,FIND(",",D1024)+1))</f>
        <v xml:space="preserve"> 250</v>
      </c>
      <c r="I1024" s="222"/>
    </row>
    <row r="1025" spans="1:12" x14ac:dyDescent="0.25">
      <c r="A1025" t="s">
        <v>138</v>
      </c>
      <c r="B1025" t="s">
        <v>2567</v>
      </c>
      <c r="C1025" s="2" t="s">
        <v>1036</v>
      </c>
      <c r="D1025" s="3" t="s">
        <v>2329</v>
      </c>
      <c r="E1025" t="s">
        <v>99</v>
      </c>
      <c r="F1025" s="2" t="str">
        <f>LEFT(D1025,FIND(",",D1025)-1)</f>
        <v>230</v>
      </c>
      <c r="G1025" s="2" t="str">
        <f>MID(D1025,FIND(",",D1025)+1,FIND(",",D1025,FIND(",",D1025)+1)-FIND(",",D1025)-1)</f>
        <v>230</v>
      </c>
      <c r="H1025" s="2" t="str">
        <f>RIGHT(D1025,LEN(D1025)-FIND(",",D1025,FIND(",",D1025)+1))</f>
        <v>250</v>
      </c>
      <c r="I1025" s="222"/>
    </row>
    <row r="1026" spans="1:12" x14ac:dyDescent="0.25">
      <c r="A1026" t="s">
        <v>1521</v>
      </c>
      <c r="B1026" t="s">
        <v>2567</v>
      </c>
      <c r="C1026" s="2" t="s">
        <v>2732</v>
      </c>
      <c r="D1026" s="3" t="s">
        <v>2244</v>
      </c>
      <c r="E1026" t="s">
        <v>99</v>
      </c>
      <c r="F1026" s="5">
        <v>232</v>
      </c>
      <c r="G1026" s="5">
        <v>54</v>
      </c>
      <c r="H1026" s="5">
        <v>166</v>
      </c>
      <c r="I1026" s="824"/>
      <c r="L1026" s="7"/>
    </row>
    <row r="1027" spans="1:12" x14ac:dyDescent="0.25">
      <c r="A1027" t="s">
        <v>1103</v>
      </c>
      <c r="B1027" t="s">
        <v>2567</v>
      </c>
      <c r="C1027" s="2" t="s">
        <v>1104</v>
      </c>
      <c r="D1027" s="3" t="s">
        <v>2541</v>
      </c>
      <c r="E1027" t="s">
        <v>99</v>
      </c>
      <c r="F1027" s="2" t="str">
        <f t="shared" ref="F1027:F1036" si="168">LEFT(D1027,FIND(",",D1027)-1)</f>
        <v>234</v>
      </c>
      <c r="G1027" s="2" t="str">
        <f t="shared" ref="G1027:G1036" si="169">MID(D1027,FIND(",",D1027)+1,FIND(",",D1027,FIND(",",D1027)+1)-FIND(",",D1027)-1)</f>
        <v>173</v>
      </c>
      <c r="H1027" s="2" t="str">
        <f t="shared" ref="H1027:H1036" si="170">RIGHT(D1027,LEN(D1027)-FIND(",",D1027,FIND(",",D1027)+1))</f>
        <v>234</v>
      </c>
      <c r="I1027" s="342"/>
    </row>
    <row r="1028" spans="1:12" x14ac:dyDescent="0.25">
      <c r="A1028" t="s">
        <v>1108</v>
      </c>
      <c r="B1028" t="s">
        <v>2567</v>
      </c>
      <c r="C1028" s="2" t="s">
        <v>1095</v>
      </c>
      <c r="D1028" s="3" t="s">
        <v>1597</v>
      </c>
      <c r="E1028" t="s">
        <v>99</v>
      </c>
      <c r="F1028" s="2" t="str">
        <f t="shared" si="168"/>
        <v>238</v>
      </c>
      <c r="G1028" s="2" t="str">
        <f t="shared" si="169"/>
        <v xml:space="preserve"> 130</v>
      </c>
      <c r="H1028" s="2" t="str">
        <f t="shared" si="170"/>
        <v xml:space="preserve"> 238</v>
      </c>
      <c r="I1028" s="578"/>
    </row>
    <row r="1029" spans="1:12" x14ac:dyDescent="0.25">
      <c r="A1029" t="s">
        <v>1041</v>
      </c>
      <c r="B1029" t="s">
        <v>2567</v>
      </c>
      <c r="C1029" s="2" t="s">
        <v>1042</v>
      </c>
      <c r="D1029" s="3" t="s">
        <v>1926</v>
      </c>
      <c r="E1029" t="s">
        <v>99</v>
      </c>
      <c r="F1029" s="2" t="str">
        <f t="shared" si="168"/>
        <v>238</v>
      </c>
      <c r="G1029" s="2" t="str">
        <f t="shared" si="169"/>
        <v>0</v>
      </c>
      <c r="H1029" s="2" t="str">
        <f t="shared" si="170"/>
        <v>238</v>
      </c>
      <c r="I1029" s="274"/>
    </row>
    <row r="1030" spans="1:12" x14ac:dyDescent="0.25">
      <c r="A1030" t="s">
        <v>1061</v>
      </c>
      <c r="B1030" t="s">
        <v>2567</v>
      </c>
      <c r="C1030" s="2" t="s">
        <v>1062</v>
      </c>
      <c r="D1030" s="3" t="s">
        <v>2530</v>
      </c>
      <c r="E1030" t="s">
        <v>99</v>
      </c>
      <c r="F1030" s="2" t="str">
        <f t="shared" si="168"/>
        <v>238</v>
      </c>
      <c r="G1030" s="2" t="str">
        <f t="shared" si="169"/>
        <v>122</v>
      </c>
      <c r="H1030" s="2" t="str">
        <f t="shared" si="170"/>
        <v>233</v>
      </c>
      <c r="I1030" s="95"/>
    </row>
    <row r="1031" spans="1:12" x14ac:dyDescent="0.25">
      <c r="A1031" t="s">
        <v>99</v>
      </c>
      <c r="B1031" t="s">
        <v>2567</v>
      </c>
      <c r="C1031" s="2" t="s">
        <v>1095</v>
      </c>
      <c r="D1031" s="3" t="s">
        <v>2306</v>
      </c>
      <c r="E1031" t="s">
        <v>99</v>
      </c>
      <c r="F1031" s="2" t="str">
        <f t="shared" si="168"/>
        <v>238</v>
      </c>
      <c r="G1031" s="2" t="str">
        <f t="shared" si="169"/>
        <v>130</v>
      </c>
      <c r="H1031" s="2" t="str">
        <f t="shared" si="170"/>
        <v>238</v>
      </c>
      <c r="I1031" s="578"/>
    </row>
    <row r="1032" spans="1:12" x14ac:dyDescent="0.25">
      <c r="A1032" t="s">
        <v>99</v>
      </c>
      <c r="B1032" t="s">
        <v>2567</v>
      </c>
      <c r="C1032" s="2" t="s">
        <v>1095</v>
      </c>
      <c r="D1032" s="3" t="s">
        <v>2306</v>
      </c>
      <c r="E1032" t="s">
        <v>99</v>
      </c>
      <c r="F1032" s="2" t="str">
        <f t="shared" si="168"/>
        <v>238</v>
      </c>
      <c r="G1032" s="2" t="str">
        <f t="shared" si="169"/>
        <v>130</v>
      </c>
      <c r="H1032" s="2" t="str">
        <f t="shared" si="170"/>
        <v>238</v>
      </c>
      <c r="I1032" s="578"/>
    </row>
    <row r="1033" spans="1:12" x14ac:dyDescent="0.25">
      <c r="A1033" t="s">
        <v>1070</v>
      </c>
      <c r="B1033" t="s">
        <v>2567</v>
      </c>
      <c r="C1033" s="2" t="s">
        <v>1071</v>
      </c>
      <c r="D1033" s="3" t="s">
        <v>2533</v>
      </c>
      <c r="E1033" t="s">
        <v>99</v>
      </c>
      <c r="F1033" s="2" t="str">
        <f t="shared" si="168"/>
        <v>238</v>
      </c>
      <c r="G1033" s="2" t="str">
        <f t="shared" si="169"/>
        <v>174</v>
      </c>
      <c r="H1033" s="2" t="str">
        <f t="shared" si="170"/>
        <v>238</v>
      </c>
      <c r="I1033" s="275"/>
    </row>
    <row r="1034" spans="1:12" x14ac:dyDescent="0.25">
      <c r="A1034" t="s">
        <v>1089</v>
      </c>
      <c r="B1034" t="s">
        <v>2567</v>
      </c>
      <c r="C1034" s="2" t="s">
        <v>1090</v>
      </c>
      <c r="D1034" s="3" t="s">
        <v>2537</v>
      </c>
      <c r="E1034" t="s">
        <v>99</v>
      </c>
      <c r="F1034" s="2" t="str">
        <f t="shared" si="168"/>
        <v>238</v>
      </c>
      <c r="G1034" s="2" t="str">
        <f t="shared" si="169"/>
        <v>210</v>
      </c>
      <c r="H1034" s="2" t="str">
        <f t="shared" si="170"/>
        <v>238</v>
      </c>
      <c r="I1034" s="421"/>
    </row>
    <row r="1035" spans="1:12" x14ac:dyDescent="0.25">
      <c r="A1035" t="s">
        <v>1007</v>
      </c>
      <c r="B1035" t="s">
        <v>2567</v>
      </c>
      <c r="C1035" s="2" t="s">
        <v>1008</v>
      </c>
      <c r="D1035" s="3" t="s">
        <v>2521</v>
      </c>
      <c r="E1035" t="s">
        <v>99</v>
      </c>
      <c r="F1035" s="2" t="str">
        <f t="shared" si="168"/>
        <v>238</v>
      </c>
      <c r="G1035" s="2" t="str">
        <f t="shared" si="169"/>
        <v>224</v>
      </c>
      <c r="H1035" s="2" t="str">
        <f t="shared" si="170"/>
        <v>229</v>
      </c>
      <c r="I1035" s="721"/>
    </row>
    <row r="1036" spans="1:12" x14ac:dyDescent="0.25">
      <c r="A1036" t="s">
        <v>1050</v>
      </c>
      <c r="B1036" t="s">
        <v>2567</v>
      </c>
      <c r="C1036" s="2" t="s">
        <v>1051</v>
      </c>
      <c r="D1036" s="3" t="s">
        <v>1931</v>
      </c>
      <c r="E1036" t="s">
        <v>99</v>
      </c>
      <c r="F1036" s="2" t="str">
        <f t="shared" si="168"/>
        <v>238</v>
      </c>
      <c r="G1036" s="2" t="str">
        <f t="shared" si="169"/>
        <v>48</v>
      </c>
      <c r="H1036" s="2" t="str">
        <f t="shared" si="170"/>
        <v>167</v>
      </c>
      <c r="I1036" s="340"/>
    </row>
    <row r="1037" spans="1:12" x14ac:dyDescent="0.25">
      <c r="A1037" t="s">
        <v>1299</v>
      </c>
      <c r="B1037" t="s">
        <v>2567</v>
      </c>
      <c r="C1037" s="2" t="s">
        <v>2733</v>
      </c>
      <c r="D1037" s="3" t="s">
        <v>2012</v>
      </c>
      <c r="E1037" t="s">
        <v>99</v>
      </c>
      <c r="F1037" s="5">
        <v>242</v>
      </c>
      <c r="G1037" s="5">
        <v>156</v>
      </c>
      <c r="H1037" s="5">
        <v>186</v>
      </c>
      <c r="I1037" s="431"/>
      <c r="L1037" s="7"/>
    </row>
    <row r="1038" spans="1:12" x14ac:dyDescent="0.25">
      <c r="A1038" t="s">
        <v>1321</v>
      </c>
      <c r="B1038" t="s">
        <v>2567</v>
      </c>
      <c r="C1038" s="2" t="s">
        <v>2734</v>
      </c>
      <c r="D1038" s="3" t="s">
        <v>2035</v>
      </c>
      <c r="E1038" t="s">
        <v>99</v>
      </c>
      <c r="F1038" s="5">
        <v>245</v>
      </c>
      <c r="G1038" s="5">
        <v>194</v>
      </c>
      <c r="H1038" s="5">
        <v>194</v>
      </c>
      <c r="I1038" s="735"/>
      <c r="L1038" s="7"/>
    </row>
    <row r="1039" spans="1:12" x14ac:dyDescent="0.25">
      <c r="A1039" t="s">
        <v>1522</v>
      </c>
      <c r="B1039" t="s">
        <v>2567</v>
      </c>
      <c r="C1039" s="2" t="s">
        <v>1038</v>
      </c>
      <c r="D1039" s="3" t="s">
        <v>1599</v>
      </c>
      <c r="E1039" t="s">
        <v>99</v>
      </c>
      <c r="F1039" s="2" t="str">
        <f t="shared" ref="F1039:F1045" si="171">LEFT(D1039,FIND(",",D1039)-1)</f>
        <v>255</v>
      </c>
      <c r="G1039" s="2" t="str">
        <f t="shared" ref="G1039:G1045" si="172">MID(D1039,FIND(",",D1039)+1,FIND(",",D1039,FIND(",",D1039)+1)-FIND(",",D1039)-1)</f>
        <v xml:space="preserve"> 0</v>
      </c>
      <c r="H1039" s="2" t="str">
        <f t="shared" ref="H1039:H1045" si="173">RIGHT(D1039,LEN(D1039)-FIND(",",D1039,FIND(",",D1039)+1))</f>
        <v xml:space="preserve"> 255</v>
      </c>
      <c r="I1039" s="16"/>
    </row>
    <row r="1040" spans="1:12" x14ac:dyDescent="0.25">
      <c r="A1040" t="s">
        <v>1536</v>
      </c>
      <c r="B1040" t="s">
        <v>2567</v>
      </c>
      <c r="C1040" s="2" t="s">
        <v>1038</v>
      </c>
      <c r="D1040" s="3" t="s">
        <v>1599</v>
      </c>
      <c r="E1040" t="s">
        <v>99</v>
      </c>
      <c r="F1040" s="2" t="str">
        <f t="shared" si="171"/>
        <v>255</v>
      </c>
      <c r="G1040" s="2" t="str">
        <f t="shared" si="172"/>
        <v xml:space="preserve"> 0</v>
      </c>
      <c r="H1040" s="2" t="str">
        <f t="shared" si="173"/>
        <v xml:space="preserve"> 255</v>
      </c>
      <c r="I1040" s="16"/>
    </row>
    <row r="1041" spans="1:12" x14ac:dyDescent="0.25">
      <c r="A1041" t="s">
        <v>7</v>
      </c>
      <c r="B1041" t="s">
        <v>2567</v>
      </c>
      <c r="C1041" s="2" t="s">
        <v>1038</v>
      </c>
      <c r="D1041" s="3" t="s">
        <v>1925</v>
      </c>
      <c r="E1041" t="s">
        <v>99</v>
      </c>
      <c r="F1041" s="2" t="str">
        <f t="shared" si="171"/>
        <v>255</v>
      </c>
      <c r="G1041" s="2" t="str">
        <f t="shared" si="172"/>
        <v>0</v>
      </c>
      <c r="H1041" s="2" t="str">
        <f t="shared" si="173"/>
        <v>255</v>
      </c>
      <c r="I1041" s="16"/>
    </row>
    <row r="1042" spans="1:12" x14ac:dyDescent="0.25">
      <c r="A1042" t="s">
        <v>100</v>
      </c>
      <c r="B1042" t="s">
        <v>2567</v>
      </c>
      <c r="C1042" s="2" t="s">
        <v>1038</v>
      </c>
      <c r="D1042" s="3" t="s">
        <v>1925</v>
      </c>
      <c r="E1042" t="s">
        <v>99</v>
      </c>
      <c r="F1042" s="2" t="str">
        <f t="shared" si="171"/>
        <v>255</v>
      </c>
      <c r="G1042" s="2" t="str">
        <f t="shared" si="172"/>
        <v>0</v>
      </c>
      <c r="H1042" s="2" t="str">
        <f t="shared" si="173"/>
        <v>255</v>
      </c>
      <c r="I1042" s="16"/>
    </row>
    <row r="1043" spans="1:12" x14ac:dyDescent="0.25">
      <c r="A1043" t="s">
        <v>1037</v>
      </c>
      <c r="B1043" t="s">
        <v>2567</v>
      </c>
      <c r="C1043" s="2" t="s">
        <v>1038</v>
      </c>
      <c r="D1043" s="3" t="s">
        <v>1925</v>
      </c>
      <c r="E1043" t="s">
        <v>99</v>
      </c>
      <c r="F1043" s="2" t="str">
        <f t="shared" si="171"/>
        <v>255</v>
      </c>
      <c r="G1043" s="2" t="str">
        <f t="shared" si="172"/>
        <v>0</v>
      </c>
      <c r="H1043" s="2" t="str">
        <f t="shared" si="173"/>
        <v>255</v>
      </c>
      <c r="I1043" s="16"/>
    </row>
    <row r="1044" spans="1:12" x14ac:dyDescent="0.25">
      <c r="A1044" t="s">
        <v>1039</v>
      </c>
      <c r="B1044" t="s">
        <v>2567</v>
      </c>
      <c r="C1044" s="2" t="s">
        <v>1038</v>
      </c>
      <c r="D1044" s="3" t="s">
        <v>1925</v>
      </c>
      <c r="E1044" t="s">
        <v>99</v>
      </c>
      <c r="F1044" s="2" t="str">
        <f t="shared" si="171"/>
        <v>255</v>
      </c>
      <c r="G1044" s="2" t="str">
        <f t="shared" si="172"/>
        <v>0</v>
      </c>
      <c r="H1044" s="2" t="str">
        <f t="shared" si="173"/>
        <v>255</v>
      </c>
      <c r="I1044" s="16"/>
    </row>
    <row r="1045" spans="1:12" x14ac:dyDescent="0.25">
      <c r="A1045" t="s">
        <v>1040</v>
      </c>
      <c r="B1045" t="s">
        <v>2567</v>
      </c>
      <c r="C1045" s="2" t="s">
        <v>1038</v>
      </c>
      <c r="D1045" s="3" t="s">
        <v>1925</v>
      </c>
      <c r="E1045" t="s">
        <v>99</v>
      </c>
      <c r="F1045" s="2" t="str">
        <f t="shared" si="171"/>
        <v>255</v>
      </c>
      <c r="G1045" s="2" t="str">
        <f t="shared" si="172"/>
        <v>0</v>
      </c>
      <c r="H1045" s="2" t="str">
        <f t="shared" si="173"/>
        <v>255</v>
      </c>
      <c r="I1045" s="16"/>
    </row>
    <row r="1046" spans="1:12" x14ac:dyDescent="0.25">
      <c r="A1046" t="s">
        <v>1522</v>
      </c>
      <c r="B1046" t="s">
        <v>2567</v>
      </c>
      <c r="C1046" s="2" t="s">
        <v>1038</v>
      </c>
      <c r="D1046" s="3" t="s">
        <v>1925</v>
      </c>
      <c r="E1046" t="s">
        <v>99</v>
      </c>
      <c r="F1046" s="5">
        <v>255</v>
      </c>
      <c r="G1046" s="5">
        <v>0</v>
      </c>
      <c r="H1046" s="5">
        <v>255</v>
      </c>
      <c r="I1046" s="16"/>
      <c r="L1046" s="7"/>
    </row>
    <row r="1047" spans="1:12" x14ac:dyDescent="0.25">
      <c r="A1047" t="s">
        <v>105</v>
      </c>
      <c r="B1047" t="s">
        <v>2567</v>
      </c>
      <c r="C1047" s="2" t="s">
        <v>870</v>
      </c>
      <c r="D1047" s="3" t="s">
        <v>2309</v>
      </c>
      <c r="E1047" t="s">
        <v>99</v>
      </c>
      <c r="F1047" s="2" t="str">
        <f>LEFT(D1047,FIND(",",D1047)-1)</f>
        <v>255</v>
      </c>
      <c r="G1047" s="2" t="str">
        <f>MID(D1047,FIND(",",D1047)+1,FIND(",",D1047,FIND(",",D1047)+1)-FIND(",",D1047)-1)</f>
        <v>105</v>
      </c>
      <c r="H1047" s="2" t="str">
        <f>RIGHT(D1047,LEN(D1047)-FIND(",",D1047,FIND(",",D1047)+1))</f>
        <v>180</v>
      </c>
      <c r="I1047" s="187"/>
    </row>
    <row r="1048" spans="1:12" x14ac:dyDescent="0.25">
      <c r="A1048" t="s">
        <v>1101</v>
      </c>
      <c r="B1048" t="s">
        <v>2567</v>
      </c>
      <c r="C1048" s="2" t="s">
        <v>1102</v>
      </c>
      <c r="D1048" s="3" t="s">
        <v>2540</v>
      </c>
      <c r="E1048" t="s">
        <v>99</v>
      </c>
      <c r="F1048" s="2" t="str">
        <f>LEFT(D1048,FIND(",",D1048)-1)</f>
        <v>255</v>
      </c>
      <c r="G1048" s="2" t="str">
        <f>MID(D1048,FIND(",",D1048)+1,FIND(",",D1048,FIND(",",D1048)+1)-FIND(",",D1048)-1)</f>
        <v>110</v>
      </c>
      <c r="H1048" s="2" t="str">
        <f>RIGHT(D1048,LEN(D1048)-FIND(",",D1048,FIND(",",D1048)+1))</f>
        <v>199</v>
      </c>
      <c r="I1048" s="792"/>
    </row>
    <row r="1049" spans="1:12" x14ac:dyDescent="0.25">
      <c r="A1049" t="s">
        <v>1059</v>
      </c>
      <c r="B1049" t="s">
        <v>2567</v>
      </c>
      <c r="C1049" s="2" t="s">
        <v>1060</v>
      </c>
      <c r="D1049" s="3" t="s">
        <v>2529</v>
      </c>
      <c r="E1049" t="s">
        <v>99</v>
      </c>
      <c r="F1049" s="2" t="str">
        <f>LEFT(D1049,FIND(",",D1049)-1)</f>
        <v>255</v>
      </c>
      <c r="G1049" s="2" t="str">
        <f>MID(D1049,FIND(",",D1049)+1,FIND(",",D1049,FIND(",",D1049)+1)-FIND(",",D1049)-1)</f>
        <v>131</v>
      </c>
      <c r="H1049" s="2" t="str">
        <f>RIGHT(D1049,LEN(D1049)-FIND(",",D1049,FIND(",",D1049)+1))</f>
        <v>250</v>
      </c>
      <c r="I1049" s="605"/>
    </row>
    <row r="1050" spans="1:12" x14ac:dyDescent="0.25">
      <c r="A1050" t="s">
        <v>1977</v>
      </c>
      <c r="B1050" t="s">
        <v>2567</v>
      </c>
      <c r="C1050" s="2" t="s">
        <v>2735</v>
      </c>
      <c r="D1050" s="3" t="s">
        <v>2037</v>
      </c>
      <c r="E1050" t="s">
        <v>99</v>
      </c>
      <c r="F1050" s="5">
        <v>255</v>
      </c>
      <c r="G1050" s="5">
        <v>145</v>
      </c>
      <c r="H1050" s="5">
        <v>176</v>
      </c>
      <c r="I1050" s="354"/>
      <c r="L1050" s="7"/>
    </row>
    <row r="1051" spans="1:12" x14ac:dyDescent="0.25">
      <c r="A1051" t="s">
        <v>106</v>
      </c>
      <c r="B1051" t="s">
        <v>2567</v>
      </c>
      <c r="C1051" s="2" t="s">
        <v>890</v>
      </c>
      <c r="D1051" s="3" t="s">
        <v>2310</v>
      </c>
      <c r="E1051" t="s">
        <v>99</v>
      </c>
      <c r="F1051" s="2" t="str">
        <f>LEFT(D1051,FIND(",",D1051)-1)</f>
        <v>255</v>
      </c>
      <c r="G1051" s="2" t="str">
        <f>MID(D1051,FIND(",",D1051)+1,FIND(",",D1051,FIND(",",D1051)+1)-FIND(",",D1051)-1)</f>
        <v>182</v>
      </c>
      <c r="H1051" s="2" t="str">
        <f>RIGHT(D1051,LEN(D1051)-FIND(",",D1051,FIND(",",D1051)+1))</f>
        <v>193</v>
      </c>
      <c r="I1051" s="219"/>
    </row>
    <row r="1052" spans="1:12" x14ac:dyDescent="0.25">
      <c r="A1052" t="s">
        <v>1068</v>
      </c>
      <c r="B1052" t="s">
        <v>2567</v>
      </c>
      <c r="C1052" s="2" t="s">
        <v>1069</v>
      </c>
      <c r="D1052" s="3" t="s">
        <v>2532</v>
      </c>
      <c r="E1052" t="s">
        <v>99</v>
      </c>
      <c r="F1052" s="2" t="str">
        <f>LEFT(D1052,FIND(",",D1052)-1)</f>
        <v>255</v>
      </c>
      <c r="G1052" s="2" t="str">
        <f>MID(D1052,FIND(",",D1052)+1,FIND(",",D1052,FIND(",",D1052)+1)-FIND(",",D1052)-1)</f>
        <v>187</v>
      </c>
      <c r="H1052" s="2" t="str">
        <f>RIGHT(D1052,LEN(D1052)-FIND(",",D1052,FIND(",",D1052)+1))</f>
        <v>255</v>
      </c>
      <c r="I1052" s="341"/>
    </row>
    <row r="1053" spans="1:12" x14ac:dyDescent="0.25">
      <c r="A1053" t="s">
        <v>107</v>
      </c>
      <c r="B1053" t="s">
        <v>2567</v>
      </c>
      <c r="C1053" s="2" t="s">
        <v>948</v>
      </c>
      <c r="D1053" s="3" t="s">
        <v>2311</v>
      </c>
      <c r="E1053" t="s">
        <v>99</v>
      </c>
      <c r="F1053" s="2" t="str">
        <f>LEFT(D1053,FIND(",",D1053)-1)</f>
        <v>255</v>
      </c>
      <c r="G1053" s="2" t="str">
        <f>MID(D1053,FIND(",",D1053)+1,FIND(",",D1053,FIND(",",D1053)+1)-FIND(",",D1053)-1)</f>
        <v>192</v>
      </c>
      <c r="H1053" s="2" t="str">
        <f>RIGHT(D1053,LEN(D1053)-FIND(",",D1053,FIND(",",D1053)+1))</f>
        <v>203</v>
      </c>
      <c r="I1053" s="490"/>
    </row>
    <row r="1054" spans="1:12" x14ac:dyDescent="0.25">
      <c r="A1054" t="s">
        <v>104</v>
      </c>
      <c r="B1054" t="s">
        <v>2567</v>
      </c>
      <c r="C1054" s="2" t="s">
        <v>861</v>
      </c>
      <c r="D1054" s="3" t="s">
        <v>1871</v>
      </c>
      <c r="E1054" t="s">
        <v>99</v>
      </c>
      <c r="F1054" s="2" t="str">
        <f>LEFT(D1054,FIND(",",D1054)-1)</f>
        <v>255</v>
      </c>
      <c r="G1054" s="2" t="str">
        <f>MID(D1054,FIND(",",D1054)+1,FIND(",",D1054,FIND(",",D1054)+1)-FIND(",",D1054)-1)</f>
        <v>20</v>
      </c>
      <c r="H1054" s="2" t="str">
        <f>RIGHT(D1054,LEN(D1054)-FIND(",",D1054,FIND(",",D1054)+1))</f>
        <v>147</v>
      </c>
      <c r="I1054" s="157"/>
    </row>
    <row r="1055" spans="1:12" x14ac:dyDescent="0.25">
      <c r="A1055" t="s">
        <v>1466</v>
      </c>
      <c r="B1055" t="s">
        <v>2567</v>
      </c>
      <c r="C1055" s="2" t="s">
        <v>861</v>
      </c>
      <c r="D1055" s="3" t="s">
        <v>2194</v>
      </c>
      <c r="E1055" t="s">
        <v>99</v>
      </c>
      <c r="F1055" s="5">
        <v>255</v>
      </c>
      <c r="G1055" s="5">
        <v>20</v>
      </c>
      <c r="H1055" s="5">
        <v>148</v>
      </c>
      <c r="I1055" s="523"/>
      <c r="L1055" s="7"/>
    </row>
    <row r="1056" spans="1:12" x14ac:dyDescent="0.25">
      <c r="A1056" t="s">
        <v>1087</v>
      </c>
      <c r="B1056" t="s">
        <v>2567</v>
      </c>
      <c r="C1056" s="2" t="s">
        <v>1088</v>
      </c>
      <c r="D1056" s="3" t="s">
        <v>2536</v>
      </c>
      <c r="E1056" t="s">
        <v>99</v>
      </c>
      <c r="F1056" s="2" t="str">
        <f>LEFT(D1056,FIND(",",D1056)-1)</f>
        <v>255</v>
      </c>
      <c r="G1056" s="2" t="str">
        <f>MID(D1056,FIND(",",D1056)+1,FIND(",",D1056,FIND(",",D1056)+1)-FIND(",",D1056)-1)</f>
        <v>225</v>
      </c>
      <c r="H1056" s="2" t="str">
        <f>RIGHT(D1056,LEN(D1056)-FIND(",",D1056,FIND(",",D1056)+1))</f>
        <v>255</v>
      </c>
      <c r="I1056" s="97"/>
    </row>
    <row r="1057" spans="1:12" x14ac:dyDescent="0.25">
      <c r="A1057" t="s">
        <v>1004</v>
      </c>
      <c r="B1057" t="s">
        <v>2567</v>
      </c>
      <c r="C1057" s="2" t="s">
        <v>1005</v>
      </c>
      <c r="D1057" s="3" t="s">
        <v>2321</v>
      </c>
      <c r="E1057" t="s">
        <v>99</v>
      </c>
      <c r="F1057" s="2" t="str">
        <f>LEFT(D1057,FIND(",",D1057)-1)</f>
        <v>255</v>
      </c>
      <c r="G1057" s="2" t="str">
        <f>MID(D1057,FIND(",",D1057)+1,FIND(",",D1057,FIND(",",D1057)+1)-FIND(",",D1057)-1)</f>
        <v>240</v>
      </c>
      <c r="H1057" s="2" t="str">
        <f>RIGHT(D1057,LEN(D1057)-FIND(",",D1057,FIND(",",D1057)+1))</f>
        <v>245</v>
      </c>
      <c r="I1057" s="91"/>
    </row>
    <row r="1058" spans="1:12" x14ac:dyDescent="0.25">
      <c r="A1058" t="s">
        <v>1006</v>
      </c>
      <c r="B1058" t="s">
        <v>2567</v>
      </c>
      <c r="C1058" s="2" t="s">
        <v>1005</v>
      </c>
      <c r="D1058" s="3" t="s">
        <v>2321</v>
      </c>
      <c r="E1058" t="s">
        <v>99</v>
      </c>
      <c r="F1058" s="2" t="str">
        <f>LEFT(D1058,FIND(",",D1058)-1)</f>
        <v>255</v>
      </c>
      <c r="G1058" s="2" t="str">
        <f>MID(D1058,FIND(",",D1058)+1,FIND(",",D1058,FIND(",",D1058)+1)-FIND(",",D1058)-1)</f>
        <v>240</v>
      </c>
      <c r="H1058" s="2" t="str">
        <f>RIGHT(D1058,LEN(D1058)-FIND(",",D1058,FIND(",",D1058)+1))</f>
        <v>245</v>
      </c>
      <c r="I1058" s="91"/>
    </row>
    <row r="1059" spans="1:12" x14ac:dyDescent="0.25">
      <c r="A1059" t="s">
        <v>1048</v>
      </c>
      <c r="B1059" t="s">
        <v>2567</v>
      </c>
      <c r="C1059" s="2" t="s">
        <v>1049</v>
      </c>
      <c r="D1059" s="3" t="s">
        <v>1930</v>
      </c>
      <c r="E1059" t="s">
        <v>99</v>
      </c>
      <c r="F1059" s="2" t="str">
        <f>LEFT(D1059,FIND(",",D1059)-1)</f>
        <v>255</v>
      </c>
      <c r="G1059" s="2" t="str">
        <f>MID(D1059,FIND(",",D1059)+1,FIND(",",D1059,FIND(",",D1059)+1)-FIND(",",D1059)-1)</f>
        <v>52</v>
      </c>
      <c r="H1059" s="2" t="str">
        <f>RIGHT(D1059,LEN(D1059)-FIND(",",D1059,FIND(",",D1059)+1))</f>
        <v>179</v>
      </c>
      <c r="I1059" s="790"/>
    </row>
    <row r="1060" spans="1:12" x14ac:dyDescent="0.25">
      <c r="A1060" t="s">
        <v>1450</v>
      </c>
      <c r="B1060" t="s">
        <v>2567</v>
      </c>
      <c r="C1060" s="2">
        <v>301934</v>
      </c>
      <c r="D1060" s="3" t="s">
        <v>2179</v>
      </c>
      <c r="E1060" t="s">
        <v>99</v>
      </c>
      <c r="F1060" s="5">
        <v>48</v>
      </c>
      <c r="G1060" s="5">
        <v>26</v>
      </c>
      <c r="H1060" s="5">
        <v>51</v>
      </c>
      <c r="I1060" s="521"/>
      <c r="L1060" s="7"/>
    </row>
    <row r="1061" spans="1:12" x14ac:dyDescent="0.25">
      <c r="A1061" t="s">
        <v>366</v>
      </c>
      <c r="B1061" t="s">
        <v>2567</v>
      </c>
      <c r="C1061" s="2" t="s">
        <v>367</v>
      </c>
      <c r="D1061" s="3" t="s">
        <v>1610</v>
      </c>
      <c r="E1061" t="s">
        <v>99</v>
      </c>
      <c r="F1061" s="2" t="str">
        <f>LEFT(D1061,FIND(",",D1061)-1)</f>
        <v>72</v>
      </c>
      <c r="G1061" s="2" t="str">
        <f>MID(D1061,FIND(",",D1061)+1,FIND(",",D1061,FIND(",",D1061)+1)-FIND(",",D1061)-1)</f>
        <v xml:space="preserve"> 61</v>
      </c>
      <c r="H1061" s="2" t="str">
        <f>RIGHT(D1061,LEN(D1061)-FIND(",",D1061,FIND(",",D1061)+1))</f>
        <v xml:space="preserve"> 139</v>
      </c>
      <c r="I1061" s="156"/>
    </row>
    <row r="1062" spans="1:12" x14ac:dyDescent="0.25">
      <c r="A1062" t="s">
        <v>1539</v>
      </c>
      <c r="B1062" t="s">
        <v>2567</v>
      </c>
      <c r="C1062" s="2" t="s">
        <v>2601</v>
      </c>
      <c r="D1062" s="3" t="s">
        <v>1608</v>
      </c>
      <c r="E1062" t="s">
        <v>99</v>
      </c>
      <c r="F1062" s="2" t="str">
        <f>LEFT(D1062,FIND(",",D1062)-1)</f>
        <v>75</v>
      </c>
      <c r="G1062" s="2" t="str">
        <f>MID(D1062,FIND(",",D1062)+1,FIND(",",D1062,FIND(",",D1062)+1)-FIND(",",D1062)-1)</f>
        <v xml:space="preserve"> 0</v>
      </c>
      <c r="H1062" s="2" t="str">
        <f>RIGHT(D1062,LEN(D1062)-FIND(",",D1062,FIND(",",D1062)+1))</f>
        <v xml:space="preserve"> 130</v>
      </c>
      <c r="I1062" s="124"/>
    </row>
    <row r="1063" spans="1:12" x14ac:dyDescent="0.25">
      <c r="A1063" t="s">
        <v>1108</v>
      </c>
      <c r="B1063" t="s">
        <v>2567</v>
      </c>
      <c r="C1063" s="2" t="s">
        <v>1109</v>
      </c>
      <c r="D1063" s="3" t="s">
        <v>1944</v>
      </c>
      <c r="E1063" t="s">
        <v>99</v>
      </c>
      <c r="F1063" s="2" t="str">
        <f>LEFT(D1063,FIND(",",D1063)-1)</f>
        <v>79</v>
      </c>
      <c r="G1063" s="2" t="str">
        <f>MID(D1063,FIND(",",D1063)+1,FIND(",",D1063,FIND(",",D1063)+1)-FIND(",",D1063)-1)</f>
        <v>47</v>
      </c>
      <c r="H1063" s="2" t="str">
        <f>RIGHT(D1063,LEN(D1063)-FIND(",",D1063,FIND(",",D1063)+1))</f>
        <v>79</v>
      </c>
      <c r="I1063" s="278"/>
    </row>
    <row r="1064" spans="1:12" x14ac:dyDescent="0.25">
      <c r="A1064" t="s">
        <v>1084</v>
      </c>
      <c r="B1064" t="s">
        <v>2567</v>
      </c>
      <c r="C1064" s="2" t="s">
        <v>1085</v>
      </c>
      <c r="D1064" s="3" t="s">
        <v>1940</v>
      </c>
      <c r="E1064" t="s">
        <v>99</v>
      </c>
      <c r="F1064" s="2" t="str">
        <f>LEFT(D1064,FIND(",",D1064)-1)</f>
        <v>85</v>
      </c>
      <c r="G1064" s="2" t="str">
        <f>MID(D1064,FIND(",",D1064)+1,FIND(",",D1064,FIND(",",D1064)+1)-FIND(",",D1064)-1)</f>
        <v>26</v>
      </c>
      <c r="H1064" s="2" t="str">
        <f>RIGHT(D1064,LEN(D1064)-FIND(",",D1064,FIND(",",D1064)+1))</f>
        <v>139</v>
      </c>
      <c r="I1064" s="791"/>
    </row>
    <row r="1065" spans="1:12" x14ac:dyDescent="0.25">
      <c r="A1065" t="s">
        <v>1493</v>
      </c>
      <c r="B1065" t="s">
        <v>2567</v>
      </c>
      <c r="C1065" s="2" t="s">
        <v>2736</v>
      </c>
      <c r="D1065" s="3" t="s">
        <v>2216</v>
      </c>
      <c r="E1065" t="s">
        <v>99</v>
      </c>
      <c r="F1065" s="5">
        <v>87</v>
      </c>
      <c r="G1065" s="5">
        <v>61</v>
      </c>
      <c r="H1065" s="5">
        <v>92</v>
      </c>
      <c r="I1065" s="827"/>
      <c r="L1065" s="7"/>
    </row>
    <row r="1066" spans="1:12" x14ac:dyDescent="0.25">
      <c r="A1066" t="s">
        <v>1435</v>
      </c>
      <c r="B1066" t="s">
        <v>2567</v>
      </c>
      <c r="C1066" s="2" t="s">
        <v>2737</v>
      </c>
      <c r="D1066" s="3" t="s">
        <v>2163</v>
      </c>
      <c r="E1066" t="s">
        <v>99</v>
      </c>
      <c r="F1066" s="5">
        <v>89</v>
      </c>
      <c r="G1066" s="5">
        <v>66</v>
      </c>
      <c r="H1066" s="5">
        <v>125</v>
      </c>
      <c r="I1066" s="835"/>
      <c r="L1066" s="7"/>
    </row>
    <row r="1067" spans="1:12" x14ac:dyDescent="0.25">
      <c r="A1067" t="s">
        <v>1439</v>
      </c>
      <c r="B1067" t="s">
        <v>2567</v>
      </c>
      <c r="C1067" s="2" t="s">
        <v>2738</v>
      </c>
      <c r="D1067" s="3" t="s">
        <v>2167</v>
      </c>
      <c r="E1067" t="s">
        <v>99</v>
      </c>
      <c r="F1067" s="5">
        <v>92</v>
      </c>
      <c r="G1067" s="5">
        <v>56</v>
      </c>
      <c r="H1067" s="5">
        <v>84</v>
      </c>
      <c r="I1067" s="760"/>
      <c r="L1067" s="7"/>
    </row>
    <row r="1068" spans="1:12" x14ac:dyDescent="0.25">
      <c r="A1068" t="s">
        <v>1034</v>
      </c>
      <c r="B1068" t="s">
        <v>2567</v>
      </c>
      <c r="C1068" s="2" t="s">
        <v>1035</v>
      </c>
      <c r="D1068" s="3" t="s">
        <v>1924</v>
      </c>
      <c r="E1068" t="s">
        <v>99</v>
      </c>
      <c r="F1068" s="2" t="str">
        <f>LEFT(D1068,FIND(",",D1068)-1)</f>
        <v>93</v>
      </c>
      <c r="G1068" s="2" t="str">
        <f>MID(D1068,FIND(",",D1068)+1,FIND(",",D1068,FIND(",",D1068)+1)-FIND(",",D1068)-1)</f>
        <v>71</v>
      </c>
      <c r="H1068" s="2" t="str">
        <f>RIGHT(D1068,LEN(D1068)-FIND(",",D1068,FIND(",",D1068)+1))</f>
        <v>139</v>
      </c>
      <c r="I1068" s="93"/>
    </row>
    <row r="1069" spans="1:12" x14ac:dyDescent="0.25">
      <c r="A1069" t="s">
        <v>1483</v>
      </c>
      <c r="B1069" t="s">
        <v>2567</v>
      </c>
      <c r="C1069" s="2">
        <v>614051</v>
      </c>
      <c r="D1069" s="3" t="s">
        <v>2206</v>
      </c>
      <c r="E1069" t="s">
        <v>99</v>
      </c>
      <c r="F1069" s="5">
        <v>97</v>
      </c>
      <c r="G1069" s="5">
        <v>64</v>
      </c>
      <c r="H1069" s="5">
        <v>82</v>
      </c>
      <c r="I1069" s="840"/>
      <c r="L1069" s="7"/>
    </row>
    <row r="1070" spans="1:12" x14ac:dyDescent="0.25">
      <c r="A1070" t="s">
        <v>344</v>
      </c>
      <c r="B1070" t="s">
        <v>2567</v>
      </c>
      <c r="C1070" s="2">
        <v>635688</v>
      </c>
      <c r="D1070" s="3" t="s">
        <v>1745</v>
      </c>
      <c r="E1070" t="s">
        <v>99</v>
      </c>
      <c r="F1070" s="2" t="str">
        <f>LEFT(D1070,FIND(",",D1070)-1)</f>
        <v>99</v>
      </c>
      <c r="G1070" s="2" t="str">
        <f>MID(D1070,FIND(",",D1070)+1,FIND(",",D1070,FIND(",",D1070)+1)-FIND(",",D1070)-1)</f>
        <v>86</v>
      </c>
      <c r="H1070" s="2" t="str">
        <f>RIGHT(D1070,LEN(D1070)-FIND(",",D1070,FIND(",",D1070)+1))</f>
        <v>136</v>
      </c>
      <c r="I1070" s="51"/>
    </row>
    <row r="1071" spans="1:12" x14ac:dyDescent="0.25">
      <c r="A1071" t="s">
        <v>991</v>
      </c>
      <c r="B1071" t="s">
        <v>2567</v>
      </c>
      <c r="E1071" t="s">
        <v>99</v>
      </c>
      <c r="I1071" s="18"/>
    </row>
    <row r="1072" spans="1:12" x14ac:dyDescent="0.25">
      <c r="A1072" t="s">
        <v>1552</v>
      </c>
      <c r="B1072" t="s">
        <v>2567</v>
      </c>
      <c r="D1072" s="3" t="s">
        <v>1571</v>
      </c>
      <c r="E1072" t="s">
        <v>154</v>
      </c>
      <c r="I1072" s="18"/>
    </row>
    <row r="1073" spans="1:12" x14ac:dyDescent="0.25">
      <c r="A1073" t="s">
        <v>1133</v>
      </c>
      <c r="B1073" t="s">
        <v>2567</v>
      </c>
      <c r="C1073" s="2" t="s">
        <v>1134</v>
      </c>
      <c r="D1073" s="3" t="s">
        <v>1946</v>
      </c>
      <c r="E1073" t="s">
        <v>154</v>
      </c>
      <c r="F1073" s="2" t="str">
        <f t="shared" ref="F1073:F1087" si="174">LEFT(D1073,FIND(",",D1073)-1)</f>
        <v>139</v>
      </c>
      <c r="G1073" s="2" t="str">
        <f t="shared" ref="G1073:G1087" si="175">MID(D1073,FIND(",",D1073)+1,FIND(",",D1073,FIND(",",D1073)+1)-FIND(",",D1073)-1)</f>
        <v>121</v>
      </c>
      <c r="H1073" s="2" t="str">
        <f t="shared" ref="H1073:H1087" si="176">RIGHT(D1073,LEN(D1073)-FIND(",",D1073,FIND(",",D1073)+1))</f>
        <v>94</v>
      </c>
      <c r="I1073" s="280"/>
    </row>
    <row r="1074" spans="1:12" x14ac:dyDescent="0.25">
      <c r="A1074" t="s">
        <v>1172</v>
      </c>
      <c r="B1074" t="s">
        <v>2567</v>
      </c>
      <c r="C1074" s="2" t="s">
        <v>1173</v>
      </c>
      <c r="D1074" s="3" t="s">
        <v>2561</v>
      </c>
      <c r="E1074" t="s">
        <v>154</v>
      </c>
      <c r="F1074" s="2" t="str">
        <f t="shared" si="174"/>
        <v>139</v>
      </c>
      <c r="G1074" s="2" t="str">
        <f t="shared" si="175"/>
        <v>126</v>
      </c>
      <c r="H1074" s="2" t="str">
        <f t="shared" si="176"/>
        <v>102</v>
      </c>
      <c r="I1074" s="282"/>
    </row>
    <row r="1075" spans="1:12" x14ac:dyDescent="0.25">
      <c r="A1075" t="s">
        <v>1120</v>
      </c>
      <c r="B1075" t="s">
        <v>2567</v>
      </c>
      <c r="C1075" s="2" t="s">
        <v>1121</v>
      </c>
      <c r="D1075" s="3" t="s">
        <v>2546</v>
      </c>
      <c r="E1075" t="s">
        <v>154</v>
      </c>
      <c r="F1075" s="2" t="str">
        <f t="shared" si="174"/>
        <v>139</v>
      </c>
      <c r="G1075" s="2" t="str">
        <f t="shared" si="175"/>
        <v>131</v>
      </c>
      <c r="H1075" s="2" t="str">
        <f t="shared" si="176"/>
        <v>120</v>
      </c>
      <c r="I1075" s="422"/>
    </row>
    <row r="1076" spans="1:12" x14ac:dyDescent="0.25">
      <c r="A1076" t="s">
        <v>1155</v>
      </c>
      <c r="B1076" t="s">
        <v>2567</v>
      </c>
      <c r="C1076" s="2" t="s">
        <v>1156</v>
      </c>
      <c r="D1076" s="3" t="s">
        <v>2554</v>
      </c>
      <c r="E1076" t="s">
        <v>154</v>
      </c>
      <c r="F1076" s="2" t="str">
        <f t="shared" si="174"/>
        <v>139</v>
      </c>
      <c r="G1076" s="2" t="str">
        <f t="shared" si="175"/>
        <v>134</v>
      </c>
      <c r="H1076" s="2" t="str">
        <f t="shared" si="176"/>
        <v>130</v>
      </c>
      <c r="I1076" s="423"/>
    </row>
    <row r="1077" spans="1:12" x14ac:dyDescent="0.25">
      <c r="A1077" t="s">
        <v>1163</v>
      </c>
      <c r="B1077" t="s">
        <v>2567</v>
      </c>
      <c r="C1077" s="2" t="s">
        <v>1164</v>
      </c>
      <c r="D1077" s="3" t="s">
        <v>2557</v>
      </c>
      <c r="E1077" t="s">
        <v>154</v>
      </c>
      <c r="F1077" s="2" t="str">
        <f t="shared" si="174"/>
        <v>139</v>
      </c>
      <c r="G1077" s="2" t="str">
        <f t="shared" si="175"/>
        <v>137</v>
      </c>
      <c r="H1077" s="2" t="str">
        <f t="shared" si="176"/>
        <v>137</v>
      </c>
      <c r="I1077" s="100"/>
    </row>
    <row r="1078" spans="1:12" x14ac:dyDescent="0.25">
      <c r="A1078" t="s">
        <v>1145</v>
      </c>
      <c r="B1078" t="s">
        <v>2567</v>
      </c>
      <c r="C1078" s="2" t="s">
        <v>1146</v>
      </c>
      <c r="D1078" s="3" t="s">
        <v>2551</v>
      </c>
      <c r="E1078" t="s">
        <v>154</v>
      </c>
      <c r="F1078" s="2" t="str">
        <f t="shared" si="174"/>
        <v>139</v>
      </c>
      <c r="G1078" s="2" t="str">
        <f t="shared" si="175"/>
        <v>139</v>
      </c>
      <c r="H1078" s="2" t="str">
        <f t="shared" si="176"/>
        <v>131</v>
      </c>
      <c r="I1078" s="281"/>
    </row>
    <row r="1079" spans="1:12" x14ac:dyDescent="0.25">
      <c r="A1079" t="s">
        <v>1131</v>
      </c>
      <c r="B1079" t="s">
        <v>2567</v>
      </c>
      <c r="C1079" s="2" t="s">
        <v>1132</v>
      </c>
      <c r="D1079" s="3" t="s">
        <v>2548</v>
      </c>
      <c r="E1079" t="s">
        <v>154</v>
      </c>
      <c r="F1079" s="2" t="str">
        <f t="shared" si="174"/>
        <v>205</v>
      </c>
      <c r="G1079" s="2" t="str">
        <f t="shared" si="175"/>
        <v>179</v>
      </c>
      <c r="H1079" s="2" t="str">
        <f t="shared" si="176"/>
        <v>139</v>
      </c>
      <c r="I1079" s="726"/>
    </row>
    <row r="1080" spans="1:12" x14ac:dyDescent="0.25">
      <c r="A1080" t="s">
        <v>1170</v>
      </c>
      <c r="B1080" t="s">
        <v>2567</v>
      </c>
      <c r="C1080" s="2" t="s">
        <v>1171</v>
      </c>
      <c r="D1080" s="3" t="s">
        <v>2560</v>
      </c>
      <c r="E1080" t="s">
        <v>154</v>
      </c>
      <c r="F1080" s="2" t="str">
        <f t="shared" si="174"/>
        <v>205</v>
      </c>
      <c r="G1080" s="2" t="str">
        <f t="shared" si="175"/>
        <v>186</v>
      </c>
      <c r="H1080" s="2" t="str">
        <f t="shared" si="176"/>
        <v>150</v>
      </c>
      <c r="I1080" s="345"/>
    </row>
    <row r="1081" spans="1:12" x14ac:dyDescent="0.25">
      <c r="A1081" t="s">
        <v>1118</v>
      </c>
      <c r="B1081" t="s">
        <v>2567</v>
      </c>
      <c r="C1081" s="2" t="s">
        <v>1119</v>
      </c>
      <c r="D1081" s="3" t="s">
        <v>2545</v>
      </c>
      <c r="E1081" t="s">
        <v>154</v>
      </c>
      <c r="F1081" s="2" t="str">
        <f t="shared" si="174"/>
        <v>205</v>
      </c>
      <c r="G1081" s="2" t="str">
        <f t="shared" si="175"/>
        <v>192</v>
      </c>
      <c r="H1081" s="2" t="str">
        <f t="shared" si="176"/>
        <v>176</v>
      </c>
      <c r="I1081" s="279"/>
    </row>
    <row r="1082" spans="1:12" x14ac:dyDescent="0.25">
      <c r="A1082" t="s">
        <v>1153</v>
      </c>
      <c r="B1082" t="s">
        <v>2567</v>
      </c>
      <c r="C1082" s="2" t="s">
        <v>1154</v>
      </c>
      <c r="D1082" s="3" t="s">
        <v>2553</v>
      </c>
      <c r="E1082" t="s">
        <v>154</v>
      </c>
      <c r="F1082" s="2" t="str">
        <f t="shared" si="174"/>
        <v>205</v>
      </c>
      <c r="G1082" s="2" t="str">
        <f t="shared" si="175"/>
        <v>197</v>
      </c>
      <c r="H1082" s="2" t="str">
        <f t="shared" si="176"/>
        <v>191</v>
      </c>
      <c r="I1082" s="344"/>
    </row>
    <row r="1083" spans="1:12" x14ac:dyDescent="0.25">
      <c r="A1083" t="s">
        <v>1161</v>
      </c>
      <c r="B1083" t="s">
        <v>2567</v>
      </c>
      <c r="C1083" s="2" t="s">
        <v>1162</v>
      </c>
      <c r="D1083" s="3" t="s">
        <v>2556</v>
      </c>
      <c r="E1083" t="s">
        <v>154</v>
      </c>
      <c r="F1083" s="2" t="str">
        <f t="shared" si="174"/>
        <v>205</v>
      </c>
      <c r="G1083" s="2" t="str">
        <f t="shared" si="175"/>
        <v>201</v>
      </c>
      <c r="H1083" s="2" t="str">
        <f t="shared" si="176"/>
        <v>201</v>
      </c>
      <c r="I1083" s="607"/>
    </row>
    <row r="1084" spans="1:12" x14ac:dyDescent="0.25">
      <c r="A1084" t="s">
        <v>1143</v>
      </c>
      <c r="B1084" t="s">
        <v>2567</v>
      </c>
      <c r="C1084" s="2" t="s">
        <v>1144</v>
      </c>
      <c r="D1084" s="3" t="s">
        <v>2550</v>
      </c>
      <c r="E1084" t="s">
        <v>154</v>
      </c>
      <c r="F1084" s="2" t="str">
        <f t="shared" si="174"/>
        <v>205</v>
      </c>
      <c r="G1084" s="2" t="str">
        <f t="shared" si="175"/>
        <v>205</v>
      </c>
      <c r="H1084" s="2" t="str">
        <f t="shared" si="176"/>
        <v>193</v>
      </c>
      <c r="I1084" s="606"/>
    </row>
    <row r="1085" spans="1:12" x14ac:dyDescent="0.25">
      <c r="A1085" t="s">
        <v>1176</v>
      </c>
      <c r="B1085" t="s">
        <v>2567</v>
      </c>
      <c r="C1085" s="2" t="s">
        <v>1177</v>
      </c>
      <c r="D1085" s="3" t="s">
        <v>2563</v>
      </c>
      <c r="E1085" t="s">
        <v>154</v>
      </c>
      <c r="F1085" s="2" t="str">
        <f t="shared" si="174"/>
        <v>216</v>
      </c>
      <c r="G1085" s="2" t="str">
        <f t="shared" si="175"/>
        <v>216</v>
      </c>
      <c r="H1085" s="2" t="str">
        <f t="shared" si="176"/>
        <v>191</v>
      </c>
      <c r="I1085" s="101"/>
    </row>
    <row r="1086" spans="1:12" x14ac:dyDescent="0.25">
      <c r="A1086" t="s">
        <v>1174</v>
      </c>
      <c r="B1086" t="s">
        <v>2567</v>
      </c>
      <c r="C1086" s="2" t="s">
        <v>1175</v>
      </c>
      <c r="D1086" s="3" t="s">
        <v>2562</v>
      </c>
      <c r="E1086" t="s">
        <v>154</v>
      </c>
      <c r="F1086" s="2" t="str">
        <f t="shared" si="174"/>
        <v>217</v>
      </c>
      <c r="G1086" s="2" t="str">
        <f t="shared" si="175"/>
        <v>217</v>
      </c>
      <c r="H1086" s="2" t="str">
        <f t="shared" si="176"/>
        <v>243</v>
      </c>
      <c r="I1086" s="499"/>
    </row>
    <row r="1087" spans="1:12" x14ac:dyDescent="0.25">
      <c r="A1087" t="s">
        <v>152</v>
      </c>
      <c r="B1087" t="s">
        <v>2567</v>
      </c>
      <c r="C1087" s="2" t="s">
        <v>1138</v>
      </c>
      <c r="D1087" s="3" t="s">
        <v>2337</v>
      </c>
      <c r="E1087" t="s">
        <v>154</v>
      </c>
      <c r="F1087" s="2" t="str">
        <f t="shared" si="174"/>
        <v>220</v>
      </c>
      <c r="G1087" s="2" t="str">
        <f t="shared" si="175"/>
        <v>220</v>
      </c>
      <c r="H1087" s="2" t="str">
        <f t="shared" si="176"/>
        <v>220</v>
      </c>
      <c r="I1087" s="99"/>
    </row>
    <row r="1088" spans="1:12" x14ac:dyDescent="0.25">
      <c r="A1088" t="s">
        <v>1350</v>
      </c>
      <c r="B1088" t="s">
        <v>2567</v>
      </c>
      <c r="C1088" s="2" t="s">
        <v>2739</v>
      </c>
      <c r="D1088" s="3" t="s">
        <v>2073</v>
      </c>
      <c r="E1088" t="s">
        <v>154</v>
      </c>
      <c r="F1088" s="5">
        <v>227</v>
      </c>
      <c r="G1088" s="5">
        <v>217</v>
      </c>
      <c r="H1088" s="5">
        <v>201</v>
      </c>
      <c r="I1088" s="438"/>
      <c r="L1088" s="7"/>
    </row>
    <row r="1089" spans="1:12" x14ac:dyDescent="0.25">
      <c r="A1089" t="s">
        <v>1129</v>
      </c>
      <c r="B1089" t="s">
        <v>2567</v>
      </c>
      <c r="C1089" s="2" t="s">
        <v>1130</v>
      </c>
      <c r="D1089" s="3" t="s">
        <v>2547</v>
      </c>
      <c r="E1089" t="s">
        <v>154</v>
      </c>
      <c r="F1089" s="2" t="str">
        <f t="shared" ref="F1089:F1097" si="177">LEFT(D1089,FIND(",",D1089)-1)</f>
        <v>238</v>
      </c>
      <c r="G1089" s="2" t="str">
        <f t="shared" ref="G1089:G1097" si="178">MID(D1089,FIND(",",D1089)+1,FIND(",",D1089,FIND(",",D1089)+1)-FIND(",",D1089)-1)</f>
        <v>207</v>
      </c>
      <c r="H1089" s="2" t="str">
        <f t="shared" ref="H1089:H1097" si="179">RIGHT(D1089,LEN(D1089)-FIND(",",D1089,FIND(",",D1089)+1))</f>
        <v>161</v>
      </c>
      <c r="I1089" s="667"/>
    </row>
    <row r="1090" spans="1:12" x14ac:dyDescent="0.25">
      <c r="A1090" t="s">
        <v>1168</v>
      </c>
      <c r="B1090" t="s">
        <v>2567</v>
      </c>
      <c r="C1090" s="2" t="s">
        <v>1169</v>
      </c>
      <c r="D1090" s="3" t="s">
        <v>2559</v>
      </c>
      <c r="E1090" t="s">
        <v>154</v>
      </c>
      <c r="F1090" s="2" t="str">
        <f t="shared" si="177"/>
        <v>238</v>
      </c>
      <c r="G1090" s="2" t="str">
        <f t="shared" si="178"/>
        <v>216</v>
      </c>
      <c r="H1090" s="2" t="str">
        <f t="shared" si="179"/>
        <v>174</v>
      </c>
      <c r="I1090" s="795"/>
    </row>
    <row r="1091" spans="1:12" x14ac:dyDescent="0.25">
      <c r="A1091" t="s">
        <v>1116</v>
      </c>
      <c r="B1091" t="s">
        <v>2567</v>
      </c>
      <c r="C1091" s="2" t="s">
        <v>1117</v>
      </c>
      <c r="D1091" s="3" t="s">
        <v>2544</v>
      </c>
      <c r="E1091" t="s">
        <v>154</v>
      </c>
      <c r="F1091" s="2" t="str">
        <f t="shared" si="177"/>
        <v>238</v>
      </c>
      <c r="G1091" s="2" t="str">
        <f t="shared" si="178"/>
        <v>223</v>
      </c>
      <c r="H1091" s="2" t="str">
        <f t="shared" si="179"/>
        <v>204</v>
      </c>
      <c r="I1091" s="343"/>
    </row>
    <row r="1092" spans="1:12" x14ac:dyDescent="0.25">
      <c r="A1092" t="s">
        <v>1151</v>
      </c>
      <c r="B1092" t="s">
        <v>2567</v>
      </c>
      <c r="C1092" s="2" t="s">
        <v>1152</v>
      </c>
      <c r="D1092" s="3" t="s">
        <v>2552</v>
      </c>
      <c r="E1092" t="s">
        <v>154</v>
      </c>
      <c r="F1092" s="2" t="str">
        <f t="shared" si="177"/>
        <v>238</v>
      </c>
      <c r="G1092" s="2" t="str">
        <f t="shared" si="178"/>
        <v>229</v>
      </c>
      <c r="H1092" s="2" t="str">
        <f t="shared" si="179"/>
        <v>222</v>
      </c>
      <c r="I1092" s="794"/>
    </row>
    <row r="1093" spans="1:12" x14ac:dyDescent="0.25">
      <c r="A1093" t="s">
        <v>1159</v>
      </c>
      <c r="B1093" t="s">
        <v>2567</v>
      </c>
      <c r="C1093" s="2" t="s">
        <v>1160</v>
      </c>
      <c r="D1093" s="3" t="s">
        <v>2555</v>
      </c>
      <c r="E1093" t="s">
        <v>154</v>
      </c>
      <c r="F1093" s="2" t="str">
        <f t="shared" si="177"/>
        <v>238</v>
      </c>
      <c r="G1093" s="2" t="str">
        <f t="shared" si="178"/>
        <v>233</v>
      </c>
      <c r="H1093" s="2" t="str">
        <f t="shared" si="179"/>
        <v>233</v>
      </c>
      <c r="I1093" s="564"/>
    </row>
    <row r="1094" spans="1:12" x14ac:dyDescent="0.25">
      <c r="A1094" t="s">
        <v>1141</v>
      </c>
      <c r="B1094" t="s">
        <v>2567</v>
      </c>
      <c r="C1094" s="2" t="s">
        <v>1142</v>
      </c>
      <c r="D1094" s="3" t="s">
        <v>2549</v>
      </c>
      <c r="E1094" t="s">
        <v>154</v>
      </c>
      <c r="F1094" s="2" t="str">
        <f t="shared" si="177"/>
        <v>238</v>
      </c>
      <c r="G1094" s="2" t="str">
        <f t="shared" si="178"/>
        <v>238</v>
      </c>
      <c r="H1094" s="2" t="str">
        <f t="shared" si="179"/>
        <v>224</v>
      </c>
      <c r="I1094" s="563"/>
    </row>
    <row r="1095" spans="1:12" x14ac:dyDescent="0.25">
      <c r="A1095" t="s">
        <v>346</v>
      </c>
      <c r="B1095" t="s">
        <v>2567</v>
      </c>
      <c r="C1095" s="2" t="s">
        <v>347</v>
      </c>
      <c r="D1095" s="3" t="s">
        <v>1680</v>
      </c>
      <c r="E1095" t="s">
        <v>154</v>
      </c>
      <c r="F1095" s="2" t="str">
        <f t="shared" si="177"/>
        <v>240</v>
      </c>
      <c r="G1095" s="2" t="str">
        <f t="shared" si="178"/>
        <v xml:space="preserve"> 248</v>
      </c>
      <c r="H1095" s="2" t="str">
        <f t="shared" si="179"/>
        <v xml:space="preserve"> 255</v>
      </c>
      <c r="I1095" s="206"/>
    </row>
    <row r="1096" spans="1:12" x14ac:dyDescent="0.25">
      <c r="A1096" t="s">
        <v>1554</v>
      </c>
      <c r="B1096" t="s">
        <v>2567</v>
      </c>
      <c r="C1096" s="2" t="s">
        <v>821</v>
      </c>
      <c r="D1096" s="3" t="s">
        <v>1677</v>
      </c>
      <c r="E1096" t="s">
        <v>154</v>
      </c>
      <c r="F1096" s="2" t="str">
        <f t="shared" si="177"/>
        <v>240</v>
      </c>
      <c r="G1096" s="2" t="str">
        <f t="shared" si="178"/>
        <v xml:space="preserve"> 255</v>
      </c>
      <c r="H1096" s="2" t="str">
        <f t="shared" si="179"/>
        <v xml:space="preserve"> 240</v>
      </c>
      <c r="I1096" s="263"/>
    </row>
    <row r="1097" spans="1:12" x14ac:dyDescent="0.25">
      <c r="A1097" t="s">
        <v>1318</v>
      </c>
      <c r="B1097" t="s">
        <v>2567</v>
      </c>
      <c r="C1097" s="2" t="s">
        <v>504</v>
      </c>
      <c r="D1097" s="3" t="s">
        <v>1679</v>
      </c>
      <c r="E1097" t="s">
        <v>154</v>
      </c>
      <c r="F1097" s="2" t="str">
        <f t="shared" si="177"/>
        <v>240</v>
      </c>
      <c r="G1097" s="2" t="str">
        <f t="shared" si="178"/>
        <v xml:space="preserve"> 255</v>
      </c>
      <c r="H1097" s="2" t="str">
        <f t="shared" si="179"/>
        <v xml:space="preserve"> 255</v>
      </c>
      <c r="I1097" s="161"/>
    </row>
    <row r="1098" spans="1:12" x14ac:dyDescent="0.25">
      <c r="A1098" t="s">
        <v>1479</v>
      </c>
      <c r="B1098" t="s">
        <v>2567</v>
      </c>
      <c r="C1098" s="2" t="s">
        <v>2740</v>
      </c>
      <c r="D1098" s="3" t="s">
        <v>2203</v>
      </c>
      <c r="E1098" t="s">
        <v>154</v>
      </c>
      <c r="F1098" s="5">
        <v>240</v>
      </c>
      <c r="G1098" s="5">
        <v>222</v>
      </c>
      <c r="H1098" s="5">
        <v>186</v>
      </c>
      <c r="I1098" s="762"/>
      <c r="L1098" s="7"/>
    </row>
    <row r="1099" spans="1:12" x14ac:dyDescent="0.25">
      <c r="A1099" t="s">
        <v>1484</v>
      </c>
      <c r="B1099" t="s">
        <v>2567</v>
      </c>
      <c r="C1099" s="2" t="s">
        <v>2741</v>
      </c>
      <c r="D1099" s="3" t="s">
        <v>2207</v>
      </c>
      <c r="E1099" t="s">
        <v>154</v>
      </c>
      <c r="F1099" s="5">
        <v>240</v>
      </c>
      <c r="G1099" s="5">
        <v>235</v>
      </c>
      <c r="H1099" s="5">
        <v>214</v>
      </c>
      <c r="I1099" s="632"/>
      <c r="L1099" s="7"/>
    </row>
    <row r="1100" spans="1:12" x14ac:dyDescent="0.25">
      <c r="A1100" t="s">
        <v>142</v>
      </c>
      <c r="B1100" t="s">
        <v>2567</v>
      </c>
      <c r="C1100" s="2" t="s">
        <v>821</v>
      </c>
      <c r="D1100" s="3" t="s">
        <v>2332</v>
      </c>
      <c r="E1100" t="s">
        <v>154</v>
      </c>
      <c r="F1100" s="2" t="str">
        <f>LEFT(D1100,FIND(",",D1100)-1)</f>
        <v>240</v>
      </c>
      <c r="G1100" s="2" t="str">
        <f>MID(D1100,FIND(",",D1100)+1,FIND(",",D1100,FIND(",",D1100)+1)-FIND(",",D1100)-1)</f>
        <v>255</v>
      </c>
      <c r="H1100" s="2" t="str">
        <f>RIGHT(D1100,LEN(D1100)-FIND(",",D1100,FIND(",",D1100)+1))</f>
        <v>240</v>
      </c>
      <c r="I1100" s="263"/>
    </row>
    <row r="1101" spans="1:12" x14ac:dyDescent="0.25">
      <c r="A1101" t="s">
        <v>144</v>
      </c>
      <c r="B1101" t="s">
        <v>2567</v>
      </c>
      <c r="C1101" s="2" t="s">
        <v>504</v>
      </c>
      <c r="D1101" s="3" t="s">
        <v>2032</v>
      </c>
      <c r="E1101" t="s">
        <v>154</v>
      </c>
      <c r="F1101" s="2" t="str">
        <f>LEFT(D1101,FIND(",",D1101)-1)</f>
        <v>240</v>
      </c>
      <c r="G1101" s="2" t="str">
        <f>MID(D1101,FIND(",",D1101)+1,FIND(",",D1101,FIND(",",D1101)+1)-FIND(",",D1101)-1)</f>
        <v>255</v>
      </c>
      <c r="H1101" s="2" t="str">
        <f>RIGHT(D1101,LEN(D1101)-FIND(",",D1101,FIND(",",D1101)+1))</f>
        <v>255</v>
      </c>
      <c r="I1101" s="161"/>
    </row>
    <row r="1102" spans="1:12" x14ac:dyDescent="0.25">
      <c r="A1102" t="s">
        <v>1983</v>
      </c>
      <c r="B1102" t="s">
        <v>2567</v>
      </c>
      <c r="C1102" s="2" t="s">
        <v>504</v>
      </c>
      <c r="D1102" s="3" t="s">
        <v>2032</v>
      </c>
      <c r="E1102" t="s">
        <v>154</v>
      </c>
      <c r="F1102" s="5">
        <v>240</v>
      </c>
      <c r="G1102" s="5">
        <v>255</v>
      </c>
      <c r="H1102" s="5">
        <v>255</v>
      </c>
      <c r="I1102" s="161"/>
      <c r="L1102" s="7"/>
    </row>
    <row r="1103" spans="1:12" x14ac:dyDescent="0.25">
      <c r="A1103" t="s">
        <v>1396</v>
      </c>
      <c r="B1103" t="s">
        <v>2567</v>
      </c>
      <c r="C1103" s="2" t="s">
        <v>2742</v>
      </c>
      <c r="D1103" s="3" t="s">
        <v>2121</v>
      </c>
      <c r="E1103" t="s">
        <v>154</v>
      </c>
      <c r="F1103" s="5">
        <v>242</v>
      </c>
      <c r="G1103" s="5">
        <v>222</v>
      </c>
      <c r="H1103" s="5">
        <v>207</v>
      </c>
      <c r="I1103" s="622"/>
      <c r="L1103" s="7"/>
    </row>
    <row r="1104" spans="1:12" x14ac:dyDescent="0.25">
      <c r="A1104" t="s">
        <v>1328</v>
      </c>
      <c r="B1104" t="s">
        <v>2567</v>
      </c>
      <c r="C1104" s="2" t="s">
        <v>589</v>
      </c>
      <c r="D1104" s="3" t="s">
        <v>1684</v>
      </c>
      <c r="E1104" t="s">
        <v>154</v>
      </c>
      <c r="F1104" s="2" t="str">
        <f t="shared" ref="F1104:F1109" si="180">LEFT(D1104,FIND(",",D1104)-1)</f>
        <v>245</v>
      </c>
      <c r="G1104" s="2" t="str">
        <f t="shared" ref="G1104:G1109" si="181">MID(D1104,FIND(",",D1104)+1,FIND(",",D1104,FIND(",",D1104)+1)-FIND(",",D1104)-1)</f>
        <v xml:space="preserve"> 245</v>
      </c>
      <c r="H1104" s="2" t="str">
        <f t="shared" ref="H1104:H1109" si="182">RIGHT(D1104,LEN(D1104)-FIND(",",D1104,FIND(",",D1104)+1))</f>
        <v xml:space="preserve"> 220</v>
      </c>
      <c r="I1104" s="31"/>
    </row>
    <row r="1105" spans="1:12" x14ac:dyDescent="0.25">
      <c r="A1105" t="s">
        <v>1137</v>
      </c>
      <c r="B1105" t="s">
        <v>2567</v>
      </c>
      <c r="C1105" s="2" t="s">
        <v>330</v>
      </c>
      <c r="D1105" s="3" t="s">
        <v>1682</v>
      </c>
      <c r="E1105" t="s">
        <v>154</v>
      </c>
      <c r="F1105" s="2" t="str">
        <f t="shared" si="180"/>
        <v>245</v>
      </c>
      <c r="G1105" s="2" t="str">
        <f t="shared" si="181"/>
        <v xml:space="preserve"> 245</v>
      </c>
      <c r="H1105" s="2" t="str">
        <f t="shared" si="182"/>
        <v xml:space="preserve"> 245</v>
      </c>
      <c r="I1105" s="50"/>
    </row>
    <row r="1106" spans="1:12" x14ac:dyDescent="0.25">
      <c r="A1106" t="s">
        <v>687</v>
      </c>
      <c r="B1106" t="s">
        <v>2567</v>
      </c>
      <c r="C1106" s="2" t="s">
        <v>688</v>
      </c>
      <c r="D1106" s="3" t="s">
        <v>1678</v>
      </c>
      <c r="E1106" t="s">
        <v>154</v>
      </c>
      <c r="F1106" s="2" t="str">
        <f t="shared" si="180"/>
        <v>245</v>
      </c>
      <c r="G1106" s="2" t="str">
        <f t="shared" si="181"/>
        <v xml:space="preserve"> 255</v>
      </c>
      <c r="H1106" s="2" t="str">
        <f t="shared" si="182"/>
        <v xml:space="preserve"> 250</v>
      </c>
      <c r="I1106" s="313"/>
    </row>
    <row r="1107" spans="1:12" x14ac:dyDescent="0.25">
      <c r="A1107" t="s">
        <v>112</v>
      </c>
      <c r="B1107" t="s">
        <v>2567</v>
      </c>
      <c r="C1107" s="2" t="s">
        <v>1165</v>
      </c>
      <c r="D1107" s="3" t="s">
        <v>2315</v>
      </c>
      <c r="E1107" t="s">
        <v>154</v>
      </c>
      <c r="F1107" s="2" t="str">
        <f t="shared" si="180"/>
        <v>245</v>
      </c>
      <c r="G1107" s="2" t="str">
        <f t="shared" si="181"/>
        <v>222</v>
      </c>
      <c r="H1107" s="2" t="str">
        <f t="shared" si="182"/>
        <v>179</v>
      </c>
      <c r="I1107" s="158"/>
    </row>
    <row r="1108" spans="1:12" x14ac:dyDescent="0.25">
      <c r="A1108" t="s">
        <v>1137</v>
      </c>
      <c r="B1108" t="s">
        <v>2567</v>
      </c>
      <c r="C1108" s="2" t="s">
        <v>330</v>
      </c>
      <c r="D1108" s="3" t="s">
        <v>2161</v>
      </c>
      <c r="E1108" t="s">
        <v>154</v>
      </c>
      <c r="F1108" s="2" t="str">
        <f t="shared" si="180"/>
        <v>245</v>
      </c>
      <c r="G1108" s="2" t="str">
        <f t="shared" si="181"/>
        <v>245</v>
      </c>
      <c r="H1108" s="2" t="str">
        <f t="shared" si="182"/>
        <v>245</v>
      </c>
      <c r="I1108" s="50"/>
    </row>
    <row r="1109" spans="1:12" x14ac:dyDescent="0.25">
      <c r="A1109" t="s">
        <v>134</v>
      </c>
      <c r="B1109" t="s">
        <v>2567</v>
      </c>
      <c r="C1109" s="2" t="s">
        <v>688</v>
      </c>
      <c r="D1109" s="3" t="s">
        <v>2325</v>
      </c>
      <c r="E1109" t="s">
        <v>154</v>
      </c>
      <c r="F1109" s="2" t="str">
        <f t="shared" si="180"/>
        <v>245</v>
      </c>
      <c r="G1109" s="2" t="str">
        <f t="shared" si="181"/>
        <v>255</v>
      </c>
      <c r="H1109" s="2" t="str">
        <f t="shared" si="182"/>
        <v>250</v>
      </c>
      <c r="I1109" s="313"/>
    </row>
    <row r="1110" spans="1:12" x14ac:dyDescent="0.25">
      <c r="A1110" t="s">
        <v>1395</v>
      </c>
      <c r="B1110" t="s">
        <v>2567</v>
      </c>
      <c r="C1110" s="2" t="s">
        <v>2743</v>
      </c>
      <c r="D1110" s="3" t="s">
        <v>2120</v>
      </c>
      <c r="E1110" t="s">
        <v>154</v>
      </c>
      <c r="F1110" s="5">
        <v>247</v>
      </c>
      <c r="G1110" s="5">
        <v>232</v>
      </c>
      <c r="H1110" s="5">
        <v>207</v>
      </c>
      <c r="I1110" s="842"/>
      <c r="L1110" s="7"/>
    </row>
    <row r="1111" spans="1:12" x14ac:dyDescent="0.25">
      <c r="A1111" t="s">
        <v>1124</v>
      </c>
      <c r="B1111" t="s">
        <v>2567</v>
      </c>
      <c r="C1111" s="2" t="s">
        <v>1125</v>
      </c>
      <c r="D1111" s="3" t="s">
        <v>1681</v>
      </c>
      <c r="E1111" t="s">
        <v>154</v>
      </c>
      <c r="F1111" s="2" t="str">
        <f>LEFT(D1111,FIND(",",D1111)-1)</f>
        <v>248</v>
      </c>
      <c r="G1111" s="2" t="str">
        <f>MID(D1111,FIND(",",D1111)+1,FIND(",",D1111,FIND(",",D1111)+1)-FIND(",",D1111)-1)</f>
        <v xml:space="preserve"> 248</v>
      </c>
      <c r="H1111" s="2" t="str">
        <f>RIGHT(D1111,LEN(D1111)-FIND(",",D1111,FIND(",",D1111)+1))</f>
        <v xml:space="preserve"> 255</v>
      </c>
      <c r="I1111" s="35"/>
    </row>
    <row r="1112" spans="1:12" x14ac:dyDescent="0.25">
      <c r="A1112" t="s">
        <v>141</v>
      </c>
      <c r="B1112" t="s">
        <v>2567</v>
      </c>
      <c r="C1112" s="2" t="s">
        <v>1125</v>
      </c>
      <c r="D1112" s="3" t="s">
        <v>2331</v>
      </c>
      <c r="E1112" t="s">
        <v>154</v>
      </c>
      <c r="F1112" s="2" t="str">
        <f>LEFT(D1112,FIND(",",D1112)-1)</f>
        <v>248</v>
      </c>
      <c r="G1112" s="2" t="str">
        <f>MID(D1112,FIND(",",D1112)+1,FIND(",",D1112,FIND(",",D1112)+1)-FIND(",",D1112)-1)</f>
        <v>248</v>
      </c>
      <c r="H1112" s="2" t="str">
        <f>RIGHT(D1112,LEN(D1112)-FIND(",",D1112,FIND(",",D1112)+1))</f>
        <v>255</v>
      </c>
      <c r="I1112" s="35"/>
    </row>
    <row r="1113" spans="1:12" x14ac:dyDescent="0.25">
      <c r="A1113" t="s">
        <v>1124</v>
      </c>
      <c r="B1113" t="s">
        <v>2567</v>
      </c>
      <c r="C1113" s="2" t="s">
        <v>1125</v>
      </c>
      <c r="D1113" s="3" t="s">
        <v>2331</v>
      </c>
      <c r="E1113" t="s">
        <v>154</v>
      </c>
      <c r="F1113" s="2" t="str">
        <f>LEFT(D1113,FIND(",",D1113)-1)</f>
        <v>248</v>
      </c>
      <c r="G1113" s="2" t="str">
        <f>MID(D1113,FIND(",",D1113)+1,FIND(",",D1113,FIND(",",D1113)+1)-FIND(",",D1113)-1)</f>
        <v>248</v>
      </c>
      <c r="H1113" s="2" t="str">
        <f>RIGHT(D1113,LEN(D1113)-FIND(",",D1113,FIND(",",D1113)+1))</f>
        <v>255</v>
      </c>
      <c r="I1113" s="35"/>
    </row>
    <row r="1114" spans="1:12" x14ac:dyDescent="0.25">
      <c r="A1114" t="s">
        <v>1112</v>
      </c>
      <c r="B1114" t="s">
        <v>2567</v>
      </c>
      <c r="C1114" s="2" t="s">
        <v>1113</v>
      </c>
      <c r="D1114" s="3" t="s">
        <v>1688</v>
      </c>
      <c r="E1114" t="s">
        <v>154</v>
      </c>
      <c r="F1114" s="2" t="str">
        <f>LEFT(D1114,FIND(",",D1114)-1)</f>
        <v>250</v>
      </c>
      <c r="G1114" s="2" t="str">
        <f>MID(D1114,FIND(",",D1114)+1,FIND(",",D1114,FIND(",",D1114)+1)-FIND(",",D1114)-1)</f>
        <v xml:space="preserve"> 235</v>
      </c>
      <c r="H1114" s="2" t="str">
        <f>RIGHT(D1114,LEN(D1114)-FIND(",",D1114,FIND(",",D1114)+1))</f>
        <v xml:space="preserve"> 215</v>
      </c>
      <c r="I1114" s="725"/>
    </row>
    <row r="1115" spans="1:12" x14ac:dyDescent="0.25">
      <c r="A1115" t="s">
        <v>1557</v>
      </c>
      <c r="B1115" t="s">
        <v>2567</v>
      </c>
      <c r="C1115" s="2" t="s">
        <v>1147</v>
      </c>
      <c r="D1115" s="3" t="s">
        <v>1689</v>
      </c>
      <c r="E1115" t="s">
        <v>154</v>
      </c>
      <c r="F1115" s="2" t="str">
        <f>LEFT(D1115,FIND(",",D1115)-1)</f>
        <v>250</v>
      </c>
      <c r="G1115" s="2" t="str">
        <f>MID(D1115,FIND(",",D1115)+1,FIND(",",D1115,FIND(",",D1115)+1)-FIND(",",D1115)-1)</f>
        <v xml:space="preserve"> 240</v>
      </c>
      <c r="H1115" s="2" t="str">
        <f>RIGHT(D1115,LEN(D1115)-FIND(",",D1115,FIND(",",D1115)+1))</f>
        <v xml:space="preserve"> 230</v>
      </c>
      <c r="I1115" s="221"/>
    </row>
    <row r="1116" spans="1:12" x14ac:dyDescent="0.25">
      <c r="A1116" t="s">
        <v>1310</v>
      </c>
      <c r="B1116" t="s">
        <v>2567</v>
      </c>
      <c r="C1116" s="2" t="s">
        <v>2744</v>
      </c>
      <c r="D1116" s="3" t="s">
        <v>2023</v>
      </c>
      <c r="E1116" t="s">
        <v>154</v>
      </c>
      <c r="F1116" s="5">
        <v>250</v>
      </c>
      <c r="G1116" s="5">
        <v>207</v>
      </c>
      <c r="H1116" s="5">
        <v>176</v>
      </c>
      <c r="I1116" s="569"/>
      <c r="L1116" s="7"/>
    </row>
    <row r="1117" spans="1:12" x14ac:dyDescent="0.25">
      <c r="A1117" t="s">
        <v>1309</v>
      </c>
      <c r="B1117" t="s">
        <v>2567</v>
      </c>
      <c r="C1117" s="2" t="s">
        <v>1113</v>
      </c>
      <c r="D1117" s="3" t="s">
        <v>2022</v>
      </c>
      <c r="E1117" t="s">
        <v>154</v>
      </c>
      <c r="F1117" s="5">
        <v>250</v>
      </c>
      <c r="G1117" s="5">
        <v>235</v>
      </c>
      <c r="H1117" s="5">
        <v>214</v>
      </c>
      <c r="I1117" s="505"/>
      <c r="L1117" s="7"/>
    </row>
    <row r="1118" spans="1:12" x14ac:dyDescent="0.25">
      <c r="A1118" t="s">
        <v>108</v>
      </c>
      <c r="B1118" t="s">
        <v>2567</v>
      </c>
      <c r="C1118" s="2" t="s">
        <v>1113</v>
      </c>
      <c r="D1118" s="3" t="s">
        <v>2312</v>
      </c>
      <c r="E1118" t="s">
        <v>154</v>
      </c>
      <c r="F1118" s="2" t="str">
        <f t="shared" ref="F1118:F1131" si="183">LEFT(D1118,FIND(",",D1118)-1)</f>
        <v>250</v>
      </c>
      <c r="G1118" s="2" t="str">
        <f t="shared" ref="G1118:G1131" si="184">MID(D1118,FIND(",",D1118)+1,FIND(",",D1118,FIND(",",D1118)+1)-FIND(",",D1118)-1)</f>
        <v>235</v>
      </c>
      <c r="H1118" s="2" t="str">
        <f t="shared" ref="H1118:H1131" si="185">RIGHT(D1118,LEN(D1118)-FIND(",",D1118,FIND(",",D1118)+1))</f>
        <v>215</v>
      </c>
      <c r="I1118" s="725"/>
    </row>
    <row r="1119" spans="1:12" x14ac:dyDescent="0.25">
      <c r="A1119" t="s">
        <v>1112</v>
      </c>
      <c r="B1119" t="s">
        <v>2567</v>
      </c>
      <c r="C1119" s="2" t="s">
        <v>1113</v>
      </c>
      <c r="D1119" s="3" t="s">
        <v>2312</v>
      </c>
      <c r="E1119" t="s">
        <v>154</v>
      </c>
      <c r="F1119" s="2" t="str">
        <f t="shared" si="183"/>
        <v>250</v>
      </c>
      <c r="G1119" s="2" t="str">
        <f t="shared" si="184"/>
        <v>235</v>
      </c>
      <c r="H1119" s="2" t="str">
        <f t="shared" si="185"/>
        <v>215</v>
      </c>
      <c r="I1119" s="725"/>
    </row>
    <row r="1120" spans="1:12" x14ac:dyDescent="0.25">
      <c r="A1120" t="s">
        <v>130</v>
      </c>
      <c r="B1120" t="s">
        <v>2567</v>
      </c>
      <c r="C1120" s="2" t="s">
        <v>1147</v>
      </c>
      <c r="D1120" s="3" t="s">
        <v>2322</v>
      </c>
      <c r="E1120" t="s">
        <v>154</v>
      </c>
      <c r="F1120" s="2" t="str">
        <f t="shared" si="183"/>
        <v>250</v>
      </c>
      <c r="G1120" s="2" t="str">
        <f t="shared" si="184"/>
        <v>240</v>
      </c>
      <c r="H1120" s="2" t="str">
        <f t="shared" si="185"/>
        <v>230</v>
      </c>
      <c r="I1120" s="221"/>
    </row>
    <row r="1121" spans="1:12" x14ac:dyDescent="0.25">
      <c r="A1121" t="s">
        <v>1135</v>
      </c>
      <c r="B1121" t="s">
        <v>2567</v>
      </c>
      <c r="C1121" s="2" t="s">
        <v>1136</v>
      </c>
      <c r="D1121" s="3" t="s">
        <v>1685</v>
      </c>
      <c r="E1121" t="s">
        <v>154</v>
      </c>
      <c r="F1121" s="2" t="str">
        <f t="shared" si="183"/>
        <v>253</v>
      </c>
      <c r="G1121" s="2" t="str">
        <f t="shared" si="184"/>
        <v xml:space="preserve"> 245</v>
      </c>
      <c r="H1121" s="2" t="str">
        <f t="shared" si="185"/>
        <v xml:space="preserve"> 230</v>
      </c>
      <c r="I1121" s="693"/>
    </row>
    <row r="1122" spans="1:12" x14ac:dyDescent="0.25">
      <c r="A1122" t="s">
        <v>1135</v>
      </c>
      <c r="B1122" t="s">
        <v>2567</v>
      </c>
      <c r="C1122" s="2" t="s">
        <v>1136</v>
      </c>
      <c r="D1122" s="3" t="s">
        <v>2323</v>
      </c>
      <c r="E1122" t="s">
        <v>154</v>
      </c>
      <c r="F1122" s="2" t="str">
        <f t="shared" si="183"/>
        <v>253</v>
      </c>
      <c r="G1122" s="2" t="str">
        <f t="shared" si="184"/>
        <v>245</v>
      </c>
      <c r="H1122" s="2" t="str">
        <f t="shared" si="185"/>
        <v>230</v>
      </c>
      <c r="I1122" s="693"/>
    </row>
    <row r="1123" spans="1:12" x14ac:dyDescent="0.25">
      <c r="A1123" t="s">
        <v>901</v>
      </c>
      <c r="B1123" t="s">
        <v>2567</v>
      </c>
      <c r="C1123" s="2" t="s">
        <v>902</v>
      </c>
      <c r="D1123" s="3" t="s">
        <v>1691</v>
      </c>
      <c r="E1123" t="s">
        <v>154</v>
      </c>
      <c r="F1123" s="2" t="str">
        <f t="shared" si="183"/>
        <v>255</v>
      </c>
      <c r="G1123" s="2" t="str">
        <f t="shared" si="184"/>
        <v xml:space="preserve"> 228</v>
      </c>
      <c r="H1123" s="2" t="str">
        <f t="shared" si="185"/>
        <v xml:space="preserve"> 225</v>
      </c>
      <c r="I1123" s="160"/>
    </row>
    <row r="1124" spans="1:12" x14ac:dyDescent="0.25">
      <c r="A1124" t="s">
        <v>1004</v>
      </c>
      <c r="B1124" t="s">
        <v>2567</v>
      </c>
      <c r="C1124" s="2" t="s">
        <v>1005</v>
      </c>
      <c r="D1124" s="3" t="s">
        <v>1690</v>
      </c>
      <c r="E1124" t="s">
        <v>154</v>
      </c>
      <c r="F1124" s="2" t="str">
        <f t="shared" si="183"/>
        <v>255</v>
      </c>
      <c r="G1124" s="2" t="str">
        <f t="shared" si="184"/>
        <v xml:space="preserve"> 240</v>
      </c>
      <c r="H1124" s="2" t="str">
        <f t="shared" si="185"/>
        <v xml:space="preserve"> 245</v>
      </c>
      <c r="I1124" s="91"/>
    </row>
    <row r="1125" spans="1:12" x14ac:dyDescent="0.25">
      <c r="A1125" t="s">
        <v>1555</v>
      </c>
      <c r="B1125" t="s">
        <v>2567</v>
      </c>
      <c r="C1125" s="2" t="s">
        <v>1149</v>
      </c>
      <c r="D1125" s="3" t="s">
        <v>1683</v>
      </c>
      <c r="E1125" t="s">
        <v>154</v>
      </c>
      <c r="F1125" s="2" t="str">
        <f t="shared" si="183"/>
        <v>255</v>
      </c>
      <c r="G1125" s="2" t="str">
        <f t="shared" si="184"/>
        <v xml:space="preserve"> 245</v>
      </c>
      <c r="H1125" s="2" t="str">
        <f t="shared" si="185"/>
        <v xml:space="preserve"> 238</v>
      </c>
      <c r="I1125" s="34"/>
    </row>
    <row r="1126" spans="1:12" x14ac:dyDescent="0.25">
      <c r="A1126" t="s">
        <v>1122</v>
      </c>
      <c r="B1126" t="s">
        <v>2567</v>
      </c>
      <c r="C1126" s="2" t="s">
        <v>1123</v>
      </c>
      <c r="D1126" s="3" t="s">
        <v>1686</v>
      </c>
      <c r="E1126" t="s">
        <v>154</v>
      </c>
      <c r="F1126" s="2" t="str">
        <f t="shared" si="183"/>
        <v>255</v>
      </c>
      <c r="G1126" s="2" t="str">
        <f t="shared" si="184"/>
        <v xml:space="preserve"> 250</v>
      </c>
      <c r="H1126" s="2" t="str">
        <f t="shared" si="185"/>
        <v xml:space="preserve"> 240</v>
      </c>
      <c r="I1126" s="383"/>
    </row>
    <row r="1127" spans="1:12" x14ac:dyDescent="0.25">
      <c r="A1127" t="s">
        <v>1553</v>
      </c>
      <c r="B1127" t="s">
        <v>2567</v>
      </c>
      <c r="C1127" s="2" t="s">
        <v>1157</v>
      </c>
      <c r="D1127" s="3" t="s">
        <v>1676</v>
      </c>
      <c r="E1127" t="s">
        <v>154</v>
      </c>
      <c r="F1127" s="2" t="str">
        <f t="shared" si="183"/>
        <v>255</v>
      </c>
      <c r="G1127" s="2" t="str">
        <f t="shared" si="184"/>
        <v xml:space="preserve"> 250</v>
      </c>
      <c r="H1127" s="2" t="str">
        <f t="shared" si="185"/>
        <v xml:space="preserve"> 250</v>
      </c>
      <c r="I1127" s="191"/>
    </row>
    <row r="1128" spans="1:12" x14ac:dyDescent="0.25">
      <c r="A1128" t="s">
        <v>1556</v>
      </c>
      <c r="B1128" t="s">
        <v>2567</v>
      </c>
      <c r="C1128" s="2" t="s">
        <v>1139</v>
      </c>
      <c r="D1128" s="3" t="s">
        <v>1687</v>
      </c>
      <c r="E1128" t="s">
        <v>154</v>
      </c>
      <c r="F1128" s="2" t="str">
        <f t="shared" si="183"/>
        <v>255</v>
      </c>
      <c r="G1128" s="2" t="str">
        <f t="shared" si="184"/>
        <v xml:space="preserve"> 255</v>
      </c>
      <c r="H1128" s="2" t="str">
        <f t="shared" si="185"/>
        <v xml:space="preserve"> 240</v>
      </c>
      <c r="I1128" s="130"/>
    </row>
    <row r="1129" spans="1:12" x14ac:dyDescent="0.25">
      <c r="A1129" t="s">
        <v>1</v>
      </c>
      <c r="B1129" t="s">
        <v>2567</v>
      </c>
      <c r="C1129" s="2" t="s">
        <v>338</v>
      </c>
      <c r="D1129" s="3" t="s">
        <v>1675</v>
      </c>
      <c r="E1129" t="s">
        <v>154</v>
      </c>
      <c r="F1129" s="2" t="str">
        <f t="shared" si="183"/>
        <v>255</v>
      </c>
      <c r="G1129" s="2" t="str">
        <f t="shared" si="184"/>
        <v xml:space="preserve"> 255</v>
      </c>
      <c r="H1129" s="2" t="str">
        <f t="shared" si="185"/>
        <v xml:space="preserve"> 255</v>
      </c>
      <c r="I1129" s="18"/>
    </row>
    <row r="1130" spans="1:12" x14ac:dyDescent="0.25">
      <c r="A1130" t="s">
        <v>1126</v>
      </c>
      <c r="B1130" t="s">
        <v>2567</v>
      </c>
      <c r="C1130" s="2" t="s">
        <v>1127</v>
      </c>
      <c r="D1130" s="3" t="s">
        <v>2318</v>
      </c>
      <c r="E1130" t="s">
        <v>154</v>
      </c>
      <c r="F1130" s="2" t="str">
        <f t="shared" si="183"/>
        <v>255</v>
      </c>
      <c r="G1130" s="2" t="str">
        <f t="shared" si="184"/>
        <v>222</v>
      </c>
      <c r="H1130" s="2" t="str">
        <f t="shared" si="185"/>
        <v>173</v>
      </c>
      <c r="I1130" s="562"/>
    </row>
    <row r="1131" spans="1:12" x14ac:dyDescent="0.25">
      <c r="A1131" t="s">
        <v>1128</v>
      </c>
      <c r="B1131" t="s">
        <v>2567</v>
      </c>
      <c r="C1131" s="2" t="s">
        <v>1127</v>
      </c>
      <c r="D1131" s="3" t="s">
        <v>2318</v>
      </c>
      <c r="E1131" t="s">
        <v>154</v>
      </c>
      <c r="F1131" s="2" t="str">
        <f t="shared" si="183"/>
        <v>255</v>
      </c>
      <c r="G1131" s="2" t="str">
        <f t="shared" si="184"/>
        <v>222</v>
      </c>
      <c r="H1131" s="2" t="str">
        <f t="shared" si="185"/>
        <v>173</v>
      </c>
      <c r="I1131" s="562"/>
    </row>
    <row r="1132" spans="1:12" x14ac:dyDescent="0.25">
      <c r="A1132" t="s">
        <v>1331</v>
      </c>
      <c r="B1132" t="s">
        <v>2567</v>
      </c>
      <c r="C1132" s="2" t="s">
        <v>804</v>
      </c>
      <c r="D1132" s="3" t="s">
        <v>2046</v>
      </c>
      <c r="E1132" t="s">
        <v>154</v>
      </c>
      <c r="F1132" s="5">
        <v>255</v>
      </c>
      <c r="G1132" s="5">
        <v>227</v>
      </c>
      <c r="H1132" s="5">
        <v>196</v>
      </c>
      <c r="I1132" s="355"/>
      <c r="L1132" s="7"/>
    </row>
    <row r="1133" spans="1:12" x14ac:dyDescent="0.25">
      <c r="A1133" t="s">
        <v>1166</v>
      </c>
      <c r="B1133" t="s">
        <v>2567</v>
      </c>
      <c r="C1133" s="2" t="s">
        <v>1167</v>
      </c>
      <c r="D1133" s="3" t="s">
        <v>2558</v>
      </c>
      <c r="E1133" t="s">
        <v>154</v>
      </c>
      <c r="F1133" s="2" t="str">
        <f>LEFT(D1133,FIND(",",D1133)-1)</f>
        <v>255</v>
      </c>
      <c r="G1133" s="2" t="str">
        <f>MID(D1133,FIND(",",D1133)+1,FIND(",",D1133,FIND(",",D1133)+1)-FIND(",",D1133)-1)</f>
        <v>231</v>
      </c>
      <c r="H1133" s="2" t="str">
        <f>RIGHT(D1133,LEN(D1133)-FIND(",",D1133,FIND(",",D1133)+1))</f>
        <v>186</v>
      </c>
      <c r="I1133" s="727"/>
    </row>
    <row r="1134" spans="1:12" x14ac:dyDescent="0.25">
      <c r="A1134" t="s">
        <v>1339</v>
      </c>
      <c r="B1134" t="s">
        <v>2567</v>
      </c>
      <c r="C1134" s="2" t="s">
        <v>1179</v>
      </c>
      <c r="D1134" s="3" t="s">
        <v>2054</v>
      </c>
      <c r="E1134" t="s">
        <v>154</v>
      </c>
      <c r="F1134" s="5">
        <v>255</v>
      </c>
      <c r="G1134" s="5">
        <v>235</v>
      </c>
      <c r="H1134" s="5">
        <v>204</v>
      </c>
      <c r="I1134" s="356"/>
      <c r="L1134" s="7"/>
    </row>
    <row r="1135" spans="1:12" x14ac:dyDescent="0.25">
      <c r="A1135" t="s">
        <v>1114</v>
      </c>
      <c r="B1135" t="s">
        <v>2567</v>
      </c>
      <c r="C1135" s="2" t="s">
        <v>1115</v>
      </c>
      <c r="D1135" s="3" t="s">
        <v>2543</v>
      </c>
      <c r="E1135" t="s">
        <v>154</v>
      </c>
      <c r="F1135" s="2" t="str">
        <f>LEFT(D1135,FIND(",",D1135)-1)</f>
        <v>255</v>
      </c>
      <c r="G1135" s="2" t="str">
        <f>MID(D1135,FIND(",",D1135)+1,FIND(",",D1135,FIND(",",D1135)+1)-FIND(",",D1135)-1)</f>
        <v>239</v>
      </c>
      <c r="H1135" s="2" t="str">
        <f>RIGHT(D1135,LEN(D1135)-FIND(",",D1135,FIND(",",D1135)+1))</f>
        <v>219</v>
      </c>
      <c r="I1135" s="793"/>
    </row>
    <row r="1136" spans="1:12" x14ac:dyDescent="0.25">
      <c r="A1136" t="s">
        <v>1148</v>
      </c>
      <c r="B1136" t="s">
        <v>2567</v>
      </c>
      <c r="C1136" s="2" t="s">
        <v>1149</v>
      </c>
      <c r="D1136" s="3" t="s">
        <v>2324</v>
      </c>
      <c r="E1136" t="s">
        <v>154</v>
      </c>
      <c r="F1136" s="2" t="str">
        <f>LEFT(D1136,FIND(",",D1136)-1)</f>
        <v>255</v>
      </c>
      <c r="G1136" s="2" t="str">
        <f>MID(D1136,FIND(",",D1136)+1,FIND(",",D1136,FIND(",",D1136)+1)-FIND(",",D1136)-1)</f>
        <v>245</v>
      </c>
      <c r="H1136" s="2" t="str">
        <f>RIGHT(D1136,LEN(D1136)-FIND(",",D1136,FIND(",",D1136)+1))</f>
        <v>238</v>
      </c>
      <c r="I1136" s="34"/>
    </row>
    <row r="1137" spans="1:12" x14ac:dyDescent="0.25">
      <c r="A1137" t="s">
        <v>1150</v>
      </c>
      <c r="B1137" t="s">
        <v>2567</v>
      </c>
      <c r="C1137" s="2" t="s">
        <v>1149</v>
      </c>
      <c r="D1137" s="3" t="s">
        <v>2324</v>
      </c>
      <c r="E1137" t="s">
        <v>154</v>
      </c>
      <c r="F1137" s="2" t="str">
        <f>LEFT(D1137,FIND(",",D1137)-1)</f>
        <v>255</v>
      </c>
      <c r="G1137" s="2" t="str">
        <f>MID(D1137,FIND(",",D1137)+1,FIND(",",D1137,FIND(",",D1137)+1)-FIND(",",D1137)-1)</f>
        <v>245</v>
      </c>
      <c r="H1137" s="2" t="str">
        <f>RIGHT(D1137,LEN(D1137)-FIND(",",D1137,FIND(",",D1137)+1))</f>
        <v>238</v>
      </c>
      <c r="I1137" s="34"/>
    </row>
    <row r="1138" spans="1:12" x14ac:dyDescent="0.25">
      <c r="A1138" t="s">
        <v>1426</v>
      </c>
      <c r="B1138" t="s">
        <v>2567</v>
      </c>
      <c r="C1138" s="2" t="s">
        <v>1225</v>
      </c>
      <c r="D1138" s="3" t="s">
        <v>2153</v>
      </c>
      <c r="E1138" t="s">
        <v>154</v>
      </c>
      <c r="F1138" s="5">
        <v>255</v>
      </c>
      <c r="G1138" s="5">
        <v>247</v>
      </c>
      <c r="H1138" s="5">
        <v>219</v>
      </c>
      <c r="I1138" s="519"/>
      <c r="L1138" s="7"/>
    </row>
    <row r="1139" spans="1:12" x14ac:dyDescent="0.25">
      <c r="A1139" t="s">
        <v>1428</v>
      </c>
      <c r="B1139" t="s">
        <v>2567</v>
      </c>
      <c r="C1139" s="2" t="s">
        <v>2745</v>
      </c>
      <c r="D1139" s="3" t="s">
        <v>2155</v>
      </c>
      <c r="E1139" t="s">
        <v>154</v>
      </c>
      <c r="F1139" s="5">
        <v>255</v>
      </c>
      <c r="G1139" s="5">
        <v>247</v>
      </c>
      <c r="H1139" s="5">
        <v>232</v>
      </c>
      <c r="I1139" s="306"/>
      <c r="L1139" s="7"/>
    </row>
    <row r="1140" spans="1:12" x14ac:dyDescent="0.25">
      <c r="A1140" t="s">
        <v>139</v>
      </c>
      <c r="B1140" t="s">
        <v>2567</v>
      </c>
      <c r="C1140" s="2" t="s">
        <v>1123</v>
      </c>
      <c r="D1140" s="3" t="s">
        <v>2232</v>
      </c>
      <c r="E1140" t="s">
        <v>154</v>
      </c>
      <c r="F1140" s="2" t="str">
        <f>LEFT(D1140,FIND(",",D1140)-1)</f>
        <v>255</v>
      </c>
      <c r="G1140" s="2" t="str">
        <f>MID(D1140,FIND(",",D1140)+1,FIND(",",D1140,FIND(",",D1140)+1)-FIND(",",D1140)-1)</f>
        <v>250</v>
      </c>
      <c r="H1140" s="2" t="str">
        <f>RIGHT(D1140,LEN(D1140)-FIND(",",D1140,FIND(",",D1140)+1))</f>
        <v>240</v>
      </c>
      <c r="I1140" s="383"/>
    </row>
    <row r="1141" spans="1:12" x14ac:dyDescent="0.25">
      <c r="A1141" t="s">
        <v>1122</v>
      </c>
      <c r="B1141" t="s">
        <v>2567</v>
      </c>
      <c r="C1141" s="2" t="s">
        <v>1123</v>
      </c>
      <c r="D1141" s="3" t="s">
        <v>2232</v>
      </c>
      <c r="E1141" t="s">
        <v>154</v>
      </c>
      <c r="F1141" s="2" t="str">
        <f>LEFT(D1141,FIND(",",D1141)-1)</f>
        <v>255</v>
      </c>
      <c r="G1141" s="2" t="str">
        <f>MID(D1141,FIND(",",D1141)+1,FIND(",",D1141,FIND(",",D1141)+1)-FIND(",",D1141)-1)</f>
        <v>250</v>
      </c>
      <c r="H1141" s="2" t="str">
        <f>RIGHT(D1141,LEN(D1141)-FIND(",",D1141,FIND(",",D1141)+1))</f>
        <v>240</v>
      </c>
      <c r="I1141" s="383"/>
    </row>
    <row r="1142" spans="1:12" x14ac:dyDescent="0.25">
      <c r="A1142" t="s">
        <v>1509</v>
      </c>
      <c r="B1142" t="s">
        <v>2567</v>
      </c>
      <c r="C1142" s="2" t="s">
        <v>1123</v>
      </c>
      <c r="D1142" s="3" t="s">
        <v>2232</v>
      </c>
      <c r="E1142" t="s">
        <v>154</v>
      </c>
      <c r="F1142" s="5">
        <v>255</v>
      </c>
      <c r="G1142" s="5">
        <v>250</v>
      </c>
      <c r="H1142" s="5">
        <v>240</v>
      </c>
      <c r="I1142" s="383"/>
      <c r="L1142" s="7"/>
    </row>
    <row r="1143" spans="1:12" x14ac:dyDescent="0.25">
      <c r="A1143" t="s">
        <v>145</v>
      </c>
      <c r="B1143" t="s">
        <v>2567</v>
      </c>
      <c r="C1143" s="2" t="s">
        <v>1157</v>
      </c>
      <c r="D1143" s="3" t="s">
        <v>2334</v>
      </c>
      <c r="E1143" t="s">
        <v>154</v>
      </c>
      <c r="F1143" s="2" t="str">
        <f>LEFT(D1143,FIND(",",D1143)-1)</f>
        <v>255</v>
      </c>
      <c r="G1143" s="2" t="str">
        <f>MID(D1143,FIND(",",D1143)+1,FIND(",",D1143,FIND(",",D1143)+1)-FIND(",",D1143)-1)</f>
        <v>250</v>
      </c>
      <c r="H1143" s="2" t="str">
        <f>RIGHT(D1143,LEN(D1143)-FIND(",",D1143,FIND(",",D1143)+1))</f>
        <v>250</v>
      </c>
      <c r="I1143" s="191"/>
    </row>
    <row r="1144" spans="1:12" x14ac:dyDescent="0.25">
      <c r="A1144" t="s">
        <v>145</v>
      </c>
      <c r="B1144" t="s">
        <v>2567</v>
      </c>
      <c r="C1144" s="2" t="s">
        <v>1157</v>
      </c>
      <c r="D1144" s="3" t="s">
        <v>2334</v>
      </c>
      <c r="E1144" t="s">
        <v>154</v>
      </c>
      <c r="F1144" s="2" t="str">
        <f>LEFT(D1144,FIND(",",D1144)-1)</f>
        <v>255</v>
      </c>
      <c r="G1144" s="2" t="str">
        <f>MID(D1144,FIND(",",D1144)+1,FIND(",",D1144,FIND(",",D1144)+1)-FIND(",",D1144)-1)</f>
        <v>250</v>
      </c>
      <c r="H1144" s="2" t="str">
        <f>RIGHT(D1144,LEN(D1144)-FIND(",",D1144,FIND(",",D1144)+1))</f>
        <v>250</v>
      </c>
      <c r="I1144" s="191"/>
    </row>
    <row r="1145" spans="1:12" x14ac:dyDescent="0.25">
      <c r="A1145" t="s">
        <v>1158</v>
      </c>
      <c r="B1145" t="s">
        <v>2567</v>
      </c>
      <c r="C1145" s="2" t="s">
        <v>1157</v>
      </c>
      <c r="D1145" s="3" t="s">
        <v>2334</v>
      </c>
      <c r="E1145" t="s">
        <v>154</v>
      </c>
      <c r="F1145" s="2" t="str">
        <f>LEFT(D1145,FIND(",",D1145)-1)</f>
        <v>255</v>
      </c>
      <c r="G1145" s="2" t="str">
        <f>MID(D1145,FIND(",",D1145)+1,FIND(",",D1145,FIND(",",D1145)+1)-FIND(",",D1145)-1)</f>
        <v>250</v>
      </c>
      <c r="H1145" s="2" t="str">
        <f>RIGHT(D1145,LEN(D1145)-FIND(",",D1145,FIND(",",D1145)+1))</f>
        <v>250</v>
      </c>
      <c r="I1145" s="191"/>
    </row>
    <row r="1146" spans="1:12" x14ac:dyDescent="0.25">
      <c r="A1146" t="s">
        <v>1431</v>
      </c>
      <c r="B1146" t="s">
        <v>2567</v>
      </c>
      <c r="C1146" s="2" t="s">
        <v>2746</v>
      </c>
      <c r="D1146" s="3" t="s">
        <v>2158</v>
      </c>
      <c r="E1146" t="s">
        <v>154</v>
      </c>
      <c r="F1146" s="5">
        <v>255</v>
      </c>
      <c r="G1146" s="5">
        <v>252</v>
      </c>
      <c r="H1146" s="5">
        <v>209</v>
      </c>
      <c r="I1146" s="748"/>
      <c r="L1146" s="7"/>
    </row>
    <row r="1147" spans="1:12" x14ac:dyDescent="0.25">
      <c r="A1147" t="s">
        <v>143</v>
      </c>
      <c r="B1147" t="s">
        <v>2567</v>
      </c>
      <c r="C1147" s="2" t="s">
        <v>1139</v>
      </c>
      <c r="D1147" s="3" t="s">
        <v>2333</v>
      </c>
      <c r="E1147" t="s">
        <v>154</v>
      </c>
      <c r="F1147" s="2" t="str">
        <f>LEFT(D1147,FIND(",",D1147)-1)</f>
        <v>255</v>
      </c>
      <c r="G1147" s="2" t="str">
        <f>MID(D1147,FIND(",",D1147)+1,FIND(",",D1147,FIND(",",D1147)+1)-FIND(",",D1147)-1)</f>
        <v>255</v>
      </c>
      <c r="H1147" s="2" t="str">
        <f>RIGHT(D1147,LEN(D1147)-FIND(",",D1147,FIND(",",D1147)+1))</f>
        <v>240</v>
      </c>
      <c r="I1147" s="130"/>
    </row>
    <row r="1148" spans="1:12" x14ac:dyDescent="0.25">
      <c r="A1148" t="s">
        <v>143</v>
      </c>
      <c r="B1148" t="s">
        <v>2567</v>
      </c>
      <c r="C1148" s="2" t="s">
        <v>1139</v>
      </c>
      <c r="D1148" s="3" t="s">
        <v>2333</v>
      </c>
      <c r="E1148" t="s">
        <v>154</v>
      </c>
      <c r="F1148" s="2" t="str">
        <f>LEFT(D1148,FIND(",",D1148)-1)</f>
        <v>255</v>
      </c>
      <c r="G1148" s="2" t="str">
        <f>MID(D1148,FIND(",",D1148)+1,FIND(",",D1148,FIND(",",D1148)+1)-FIND(",",D1148)-1)</f>
        <v>255</v>
      </c>
      <c r="H1148" s="2" t="str">
        <f>RIGHT(D1148,LEN(D1148)-FIND(",",D1148,FIND(",",D1148)+1))</f>
        <v>240</v>
      </c>
      <c r="I1148" s="130"/>
    </row>
    <row r="1149" spans="1:12" x14ac:dyDescent="0.25">
      <c r="A1149" t="s">
        <v>1140</v>
      </c>
      <c r="B1149" t="s">
        <v>2567</v>
      </c>
      <c r="C1149" s="2" t="s">
        <v>1139</v>
      </c>
      <c r="D1149" s="3" t="s">
        <v>2333</v>
      </c>
      <c r="E1149" t="s">
        <v>154</v>
      </c>
      <c r="F1149" s="2" t="str">
        <f>LEFT(D1149,FIND(",",D1149)-1)</f>
        <v>255</v>
      </c>
      <c r="G1149" s="2" t="str">
        <f>MID(D1149,FIND(",",D1149)+1,FIND(",",D1149,FIND(",",D1149)+1)-FIND(",",D1149)-1)</f>
        <v>255</v>
      </c>
      <c r="H1149" s="2" t="str">
        <f>RIGHT(D1149,LEN(D1149)-FIND(",",D1149,FIND(",",D1149)+1))</f>
        <v>240</v>
      </c>
      <c r="I1149" s="130"/>
    </row>
    <row r="1150" spans="1:12" x14ac:dyDescent="0.25">
      <c r="A1150" t="s">
        <v>1322</v>
      </c>
      <c r="B1150" t="s">
        <v>2567</v>
      </c>
      <c r="C1150" s="2" t="s">
        <v>2747</v>
      </c>
      <c r="D1150" s="3" t="s">
        <v>2036</v>
      </c>
      <c r="E1150" t="s">
        <v>154</v>
      </c>
      <c r="F1150" s="5">
        <v>255</v>
      </c>
      <c r="G1150" s="5">
        <v>255</v>
      </c>
      <c r="H1150" s="5">
        <v>250</v>
      </c>
      <c r="I1150" s="802"/>
      <c r="L1150" s="7"/>
    </row>
    <row r="1151" spans="1:12" x14ac:dyDescent="0.25">
      <c r="A1151" t="s">
        <v>1</v>
      </c>
      <c r="B1151" t="s">
        <v>2567</v>
      </c>
      <c r="C1151" s="2" t="s">
        <v>338</v>
      </c>
      <c r="D1151" s="3" t="s">
        <v>2248</v>
      </c>
      <c r="E1151" t="s">
        <v>154</v>
      </c>
      <c r="F1151" s="2" t="str">
        <f>LEFT(D1151,FIND(",",D1151)-1)</f>
        <v>255</v>
      </c>
      <c r="G1151" s="2" t="str">
        <f>MID(D1151,FIND(",",D1151)+1,FIND(",",D1151,FIND(",",D1151)+1)-FIND(",",D1151)-1)</f>
        <v>255</v>
      </c>
      <c r="H1151" s="2" t="str">
        <f>RIGHT(D1151,LEN(D1151)-FIND(",",D1151,FIND(",",D1151)+1))</f>
        <v>255</v>
      </c>
      <c r="I1151" s="18"/>
    </row>
    <row r="1152" spans="1:12" x14ac:dyDescent="0.25">
      <c r="A1152" t="s">
        <v>154</v>
      </c>
      <c r="B1152" t="s">
        <v>2567</v>
      </c>
      <c r="C1152" s="2" t="s">
        <v>338</v>
      </c>
      <c r="D1152" s="3" t="s">
        <v>2248</v>
      </c>
      <c r="E1152" t="s">
        <v>154</v>
      </c>
      <c r="F1152" s="2" t="str">
        <f>LEFT(D1152,FIND(",",D1152)-1)</f>
        <v>255</v>
      </c>
      <c r="G1152" s="2" t="str">
        <f>MID(D1152,FIND(",",D1152)+1,FIND(",",D1152,FIND(",",D1152)+1)-FIND(",",D1152)-1)</f>
        <v>255</v>
      </c>
      <c r="H1152" s="2" t="str">
        <f>RIGHT(D1152,LEN(D1152)-FIND(",",D1152,FIND(",",D1152)+1))</f>
        <v>255</v>
      </c>
      <c r="I1152" s="18"/>
    </row>
    <row r="1153" spans="1:12" x14ac:dyDescent="0.25">
      <c r="A1153" t="s">
        <v>1530</v>
      </c>
      <c r="B1153" t="s">
        <v>2567</v>
      </c>
      <c r="D1153" s="3" t="s">
        <v>1571</v>
      </c>
      <c r="E1153" t="s">
        <v>39</v>
      </c>
      <c r="I1153" s="18"/>
    </row>
    <row r="1154" spans="1:12" x14ac:dyDescent="0.25">
      <c r="A1154" t="s">
        <v>1188</v>
      </c>
      <c r="B1154" t="s">
        <v>2567</v>
      </c>
      <c r="C1154" s="2" t="s">
        <v>1189</v>
      </c>
      <c r="D1154" s="3" t="s">
        <v>1951</v>
      </c>
      <c r="E1154" t="s">
        <v>39</v>
      </c>
      <c r="F1154" s="2" t="str">
        <f t="shared" ref="F1154:F1163" si="186">LEFT(D1154,FIND(",",D1154)-1)</f>
        <v>139</v>
      </c>
      <c r="G1154" s="2" t="str">
        <f t="shared" ref="G1154:G1163" si="187">MID(D1154,FIND(",",D1154)+1,FIND(",",D1154,FIND(",",D1154)+1)-FIND(",",D1154)-1)</f>
        <v>101</v>
      </c>
      <c r="H1154" s="2" t="str">
        <f t="shared" ref="H1154:H1163" si="188">RIGHT(D1154,LEN(D1154)-FIND(",",D1154,FIND(",",D1154)+1))</f>
        <v>8</v>
      </c>
      <c r="I1154" s="424"/>
    </row>
    <row r="1155" spans="1:12" x14ac:dyDescent="0.25">
      <c r="A1155" t="s">
        <v>1241</v>
      </c>
      <c r="B1155" t="s">
        <v>2567</v>
      </c>
      <c r="C1155" s="2" t="s">
        <v>1242</v>
      </c>
      <c r="D1155" s="3" t="s">
        <v>1957</v>
      </c>
      <c r="E1155" t="s">
        <v>39</v>
      </c>
      <c r="F1155" s="2" t="str">
        <f t="shared" si="186"/>
        <v>139</v>
      </c>
      <c r="G1155" s="2" t="str">
        <f t="shared" si="187"/>
        <v>105</v>
      </c>
      <c r="H1155" s="2" t="str">
        <f t="shared" si="188"/>
        <v>20</v>
      </c>
      <c r="I1155" s="285"/>
    </row>
    <row r="1156" spans="1:12" x14ac:dyDescent="0.25">
      <c r="A1156" t="s">
        <v>1258</v>
      </c>
      <c r="B1156" t="s">
        <v>2567</v>
      </c>
      <c r="C1156" s="2" t="s">
        <v>1259</v>
      </c>
      <c r="D1156" s="3" t="s">
        <v>1965</v>
      </c>
      <c r="E1156" t="s">
        <v>39</v>
      </c>
      <c r="F1156" s="2" t="str">
        <f t="shared" si="186"/>
        <v>139</v>
      </c>
      <c r="G1156" s="2" t="str">
        <f t="shared" si="187"/>
        <v>117</v>
      </c>
      <c r="H1156" s="2" t="str">
        <f t="shared" si="188"/>
        <v>0</v>
      </c>
      <c r="I1156" s="106"/>
    </row>
    <row r="1157" spans="1:12" x14ac:dyDescent="0.25">
      <c r="A1157" t="s">
        <v>1207</v>
      </c>
      <c r="B1157" t="s">
        <v>2567</v>
      </c>
      <c r="C1157" s="2" t="s">
        <v>1208</v>
      </c>
      <c r="D1157" s="3" t="s">
        <v>1952</v>
      </c>
      <c r="E1157" t="s">
        <v>39</v>
      </c>
      <c r="F1157" s="2" t="str">
        <f t="shared" si="186"/>
        <v>139</v>
      </c>
      <c r="G1157" s="2" t="str">
        <f t="shared" si="187"/>
        <v>129</v>
      </c>
      <c r="H1157" s="2" t="str">
        <f t="shared" si="188"/>
        <v>76</v>
      </c>
      <c r="I1157" s="425"/>
    </row>
    <row r="1158" spans="1:12" x14ac:dyDescent="0.25">
      <c r="A1158" t="s">
        <v>1231</v>
      </c>
      <c r="B1158" t="s">
        <v>2567</v>
      </c>
      <c r="C1158" s="2" t="s">
        <v>1232</v>
      </c>
      <c r="D1158" s="3" t="s">
        <v>2273</v>
      </c>
      <c r="E1158" t="s">
        <v>39</v>
      </c>
      <c r="F1158" s="2" t="str">
        <f t="shared" si="186"/>
        <v>139</v>
      </c>
      <c r="G1158" s="2" t="str">
        <f t="shared" si="187"/>
        <v>136</v>
      </c>
      <c r="H1158" s="2" t="str">
        <f t="shared" si="188"/>
        <v>120</v>
      </c>
      <c r="I1158" s="105"/>
    </row>
    <row r="1159" spans="1:12" x14ac:dyDescent="0.25">
      <c r="A1159" t="s">
        <v>1197</v>
      </c>
      <c r="B1159" t="s">
        <v>2567</v>
      </c>
      <c r="C1159" s="2" t="s">
        <v>1198</v>
      </c>
      <c r="D1159" s="3" t="s">
        <v>2258</v>
      </c>
      <c r="E1159" t="s">
        <v>39</v>
      </c>
      <c r="F1159" s="2" t="str">
        <f t="shared" si="186"/>
        <v>139</v>
      </c>
      <c r="G1159" s="2" t="str">
        <f t="shared" si="187"/>
        <v>137</v>
      </c>
      <c r="H1159" s="2" t="str">
        <f t="shared" si="188"/>
        <v>112</v>
      </c>
      <c r="I1159" s="668"/>
    </row>
    <row r="1160" spans="1:12" x14ac:dyDescent="0.25">
      <c r="A1160" t="s">
        <v>1250</v>
      </c>
      <c r="B1160" t="s">
        <v>2567</v>
      </c>
      <c r="C1160" s="2" t="s">
        <v>1251</v>
      </c>
      <c r="D1160" s="3" t="s">
        <v>1961</v>
      </c>
      <c r="E1160" t="s">
        <v>39</v>
      </c>
      <c r="F1160" s="2" t="str">
        <f t="shared" si="186"/>
        <v>139</v>
      </c>
      <c r="G1160" s="2" t="str">
        <f t="shared" si="187"/>
        <v>139</v>
      </c>
      <c r="H1160" s="2" t="str">
        <f t="shared" si="188"/>
        <v>0</v>
      </c>
      <c r="I1160" s="565"/>
    </row>
    <row r="1161" spans="1:12" x14ac:dyDescent="0.25">
      <c r="A1161" t="s">
        <v>1218</v>
      </c>
      <c r="B1161" t="s">
        <v>2567</v>
      </c>
      <c r="C1161" s="2" t="s">
        <v>1219</v>
      </c>
      <c r="D1161" s="3" t="s">
        <v>2267</v>
      </c>
      <c r="E1161" t="s">
        <v>39</v>
      </c>
      <c r="F1161" s="2" t="str">
        <f t="shared" si="186"/>
        <v>139</v>
      </c>
      <c r="G1161" s="2" t="str">
        <f t="shared" si="187"/>
        <v>139</v>
      </c>
      <c r="H1161" s="2" t="str">
        <f t="shared" si="188"/>
        <v>122</v>
      </c>
      <c r="I1161" s="669"/>
    </row>
    <row r="1162" spans="1:12" x14ac:dyDescent="0.25">
      <c r="A1162" t="s">
        <v>1263</v>
      </c>
      <c r="B1162" t="s">
        <v>2567</v>
      </c>
      <c r="C1162" s="2" t="s">
        <v>1264</v>
      </c>
      <c r="D1162" s="3" t="s">
        <v>1966</v>
      </c>
      <c r="E1162" t="s">
        <v>39</v>
      </c>
      <c r="F1162" s="2" t="str">
        <f t="shared" si="186"/>
        <v>153</v>
      </c>
      <c r="G1162" s="2" t="str">
        <f t="shared" si="187"/>
        <v>204</v>
      </c>
      <c r="H1162" s="2" t="str">
        <f t="shared" si="188"/>
        <v>50</v>
      </c>
      <c r="I1162" s="428"/>
    </row>
    <row r="1163" spans="1:12" x14ac:dyDescent="0.25">
      <c r="A1163" t="s">
        <v>1180</v>
      </c>
      <c r="B1163" t="s">
        <v>2567</v>
      </c>
      <c r="C1163" s="2" t="s">
        <v>1181</v>
      </c>
      <c r="D1163" s="3" t="s">
        <v>1947</v>
      </c>
      <c r="E1163" t="s">
        <v>39</v>
      </c>
      <c r="F1163" s="2" t="str">
        <f t="shared" si="186"/>
        <v>184</v>
      </c>
      <c r="G1163" s="2" t="str">
        <f t="shared" si="187"/>
        <v>134</v>
      </c>
      <c r="H1163" s="2" t="str">
        <f t="shared" si="188"/>
        <v>11</v>
      </c>
      <c r="I1163" s="181"/>
    </row>
    <row r="1164" spans="1:12" x14ac:dyDescent="0.25">
      <c r="A1164" t="s">
        <v>1442</v>
      </c>
      <c r="B1164" t="s">
        <v>2567</v>
      </c>
      <c r="C1164" s="2" t="s">
        <v>1181</v>
      </c>
      <c r="D1164" s="3" t="s">
        <v>2170</v>
      </c>
      <c r="E1164" t="s">
        <v>39</v>
      </c>
      <c r="F1164" s="5">
        <v>184</v>
      </c>
      <c r="G1164" s="5">
        <v>135</v>
      </c>
      <c r="H1164" s="5">
        <v>10</v>
      </c>
      <c r="I1164" s="308"/>
      <c r="L1164" s="7"/>
    </row>
    <row r="1165" spans="1:12" x14ac:dyDescent="0.25">
      <c r="A1165" t="s">
        <v>651</v>
      </c>
      <c r="B1165" t="s">
        <v>2567</v>
      </c>
      <c r="C1165" s="2" t="s">
        <v>652</v>
      </c>
      <c r="D1165" s="3" t="s">
        <v>1593</v>
      </c>
      <c r="E1165" t="s">
        <v>39</v>
      </c>
      <c r="F1165" s="2" t="str">
        <f>LEFT(D1165,FIND(",",D1165)-1)</f>
        <v>189</v>
      </c>
      <c r="G1165" s="2" t="str">
        <f>MID(D1165,FIND(",",D1165)+1,FIND(",",D1165,FIND(",",D1165)+1)-FIND(",",D1165)-1)</f>
        <v xml:space="preserve"> 183</v>
      </c>
      <c r="H1165" s="2" t="str">
        <f>RIGHT(D1165,LEN(D1165)-FIND(",",D1165,FIND(",",D1165)+1))</f>
        <v xml:space="preserve"> 107</v>
      </c>
      <c r="I1165" s="69"/>
    </row>
    <row r="1166" spans="1:12" x14ac:dyDescent="0.25">
      <c r="A1166" t="s">
        <v>1334</v>
      </c>
      <c r="B1166" t="s">
        <v>2567</v>
      </c>
      <c r="C1166" s="2" t="s">
        <v>2748</v>
      </c>
      <c r="D1166" s="3" t="s">
        <v>2049</v>
      </c>
      <c r="E1166" t="s">
        <v>39</v>
      </c>
      <c r="F1166" s="5">
        <v>201</v>
      </c>
      <c r="G1166" s="5">
        <v>224</v>
      </c>
      <c r="H1166" s="5">
        <v>13</v>
      </c>
      <c r="I1166" s="508"/>
      <c r="L1166" s="7"/>
    </row>
    <row r="1167" spans="1:12" x14ac:dyDescent="0.25">
      <c r="A1167" t="s">
        <v>1186</v>
      </c>
      <c r="B1167" t="s">
        <v>2567</v>
      </c>
      <c r="C1167" s="2" t="s">
        <v>1187</v>
      </c>
      <c r="D1167" s="3" t="s">
        <v>1950</v>
      </c>
      <c r="E1167" t="s">
        <v>39</v>
      </c>
      <c r="F1167" s="2" t="str">
        <f t="shared" ref="F1167:F1176" si="189">LEFT(D1167,FIND(",",D1167)-1)</f>
        <v>205</v>
      </c>
      <c r="G1167" s="2" t="str">
        <f t="shared" ref="G1167:G1176" si="190">MID(D1167,FIND(",",D1167)+1,FIND(",",D1167,FIND(",",D1167)+1)-FIND(",",D1167)-1)</f>
        <v>149</v>
      </c>
      <c r="H1167" s="2" t="str">
        <f t="shared" ref="H1167:H1176" si="191">RIGHT(D1167,LEN(D1167)-FIND(",",D1167,FIND(",",D1167)+1))</f>
        <v>12</v>
      </c>
      <c r="I1167" s="102"/>
    </row>
    <row r="1168" spans="1:12" x14ac:dyDescent="0.25">
      <c r="A1168" t="s">
        <v>1239</v>
      </c>
      <c r="B1168" t="s">
        <v>2567</v>
      </c>
      <c r="C1168" s="2" t="s">
        <v>1240</v>
      </c>
      <c r="D1168" s="3" t="s">
        <v>1956</v>
      </c>
      <c r="E1168" t="s">
        <v>39</v>
      </c>
      <c r="F1168" s="2" t="str">
        <f t="shared" si="189"/>
        <v>205</v>
      </c>
      <c r="G1168" s="2" t="str">
        <f t="shared" si="190"/>
        <v>155</v>
      </c>
      <c r="H1168" s="2" t="str">
        <f t="shared" si="191"/>
        <v>29</v>
      </c>
      <c r="I1168" s="729"/>
    </row>
    <row r="1169" spans="1:12" x14ac:dyDescent="0.25">
      <c r="A1169" t="s">
        <v>1256</v>
      </c>
      <c r="B1169" t="s">
        <v>2567</v>
      </c>
      <c r="C1169" s="2" t="s">
        <v>1257</v>
      </c>
      <c r="D1169" s="3" t="s">
        <v>1964</v>
      </c>
      <c r="E1169" t="s">
        <v>39</v>
      </c>
      <c r="F1169" s="2" t="str">
        <f t="shared" si="189"/>
        <v>205</v>
      </c>
      <c r="G1169" s="2" t="str">
        <f t="shared" si="190"/>
        <v>173</v>
      </c>
      <c r="H1169" s="2" t="str">
        <f t="shared" si="191"/>
        <v>0</v>
      </c>
      <c r="I1169" s="730"/>
    </row>
    <row r="1170" spans="1:12" x14ac:dyDescent="0.25">
      <c r="A1170" t="s">
        <v>1205</v>
      </c>
      <c r="B1170" t="s">
        <v>2567</v>
      </c>
      <c r="C1170" s="2" t="s">
        <v>1206</v>
      </c>
      <c r="D1170" s="3" t="s">
        <v>2262</v>
      </c>
      <c r="E1170" t="s">
        <v>39</v>
      </c>
      <c r="F1170" s="2" t="str">
        <f t="shared" si="189"/>
        <v>205</v>
      </c>
      <c r="G1170" s="2" t="str">
        <f t="shared" si="190"/>
        <v>190</v>
      </c>
      <c r="H1170" s="2" t="str">
        <f t="shared" si="191"/>
        <v>112</v>
      </c>
      <c r="I1170" s="347"/>
    </row>
    <row r="1171" spans="1:12" x14ac:dyDescent="0.25">
      <c r="A1171" t="s">
        <v>1229</v>
      </c>
      <c r="B1171" t="s">
        <v>2567</v>
      </c>
      <c r="C1171" s="2" t="s">
        <v>1230</v>
      </c>
      <c r="D1171" s="3" t="s">
        <v>2272</v>
      </c>
      <c r="E1171" t="s">
        <v>39</v>
      </c>
      <c r="F1171" s="2" t="str">
        <f t="shared" si="189"/>
        <v>205</v>
      </c>
      <c r="G1171" s="2" t="str">
        <f t="shared" si="190"/>
        <v>200</v>
      </c>
      <c r="H1171" s="2" t="str">
        <f t="shared" si="191"/>
        <v>177</v>
      </c>
      <c r="I1171" s="500"/>
    </row>
    <row r="1172" spans="1:12" x14ac:dyDescent="0.25">
      <c r="A1172" t="s">
        <v>1195</v>
      </c>
      <c r="B1172" t="s">
        <v>2567</v>
      </c>
      <c r="C1172" s="2" t="s">
        <v>1196</v>
      </c>
      <c r="D1172" s="3" t="s">
        <v>2257</v>
      </c>
      <c r="E1172" t="s">
        <v>39</v>
      </c>
      <c r="F1172" s="2" t="str">
        <f t="shared" si="189"/>
        <v>205</v>
      </c>
      <c r="G1172" s="2" t="str">
        <f t="shared" si="190"/>
        <v>201</v>
      </c>
      <c r="H1172" s="2" t="str">
        <f t="shared" si="191"/>
        <v>165</v>
      </c>
      <c r="I1172" s="283"/>
    </row>
    <row r="1173" spans="1:12" x14ac:dyDescent="0.25">
      <c r="A1173" t="s">
        <v>1248</v>
      </c>
      <c r="B1173" t="s">
        <v>2567</v>
      </c>
      <c r="C1173" s="2" t="s">
        <v>1249</v>
      </c>
      <c r="D1173" s="3" t="s">
        <v>1960</v>
      </c>
      <c r="E1173" t="s">
        <v>39</v>
      </c>
      <c r="F1173" s="2" t="str">
        <f t="shared" si="189"/>
        <v>205</v>
      </c>
      <c r="G1173" s="2" t="str">
        <f t="shared" si="190"/>
        <v>205</v>
      </c>
      <c r="H1173" s="2" t="str">
        <f t="shared" si="191"/>
        <v>0</v>
      </c>
      <c r="I1173" s="501"/>
    </row>
    <row r="1174" spans="1:12" x14ac:dyDescent="0.25">
      <c r="A1174" t="s">
        <v>1216</v>
      </c>
      <c r="B1174" t="s">
        <v>2567</v>
      </c>
      <c r="C1174" s="2" t="s">
        <v>1217</v>
      </c>
      <c r="D1174" s="3" t="s">
        <v>2266</v>
      </c>
      <c r="E1174" t="s">
        <v>39</v>
      </c>
      <c r="F1174" s="2" t="str">
        <f t="shared" si="189"/>
        <v>205</v>
      </c>
      <c r="G1174" s="2" t="str">
        <f t="shared" si="190"/>
        <v>205</v>
      </c>
      <c r="H1174" s="2" t="str">
        <f t="shared" si="191"/>
        <v>180</v>
      </c>
      <c r="I1174" s="104"/>
    </row>
    <row r="1175" spans="1:12" x14ac:dyDescent="0.25">
      <c r="A1175" t="s">
        <v>1233</v>
      </c>
      <c r="B1175" t="s">
        <v>2567</v>
      </c>
      <c r="C1175" s="2" t="s">
        <v>1234</v>
      </c>
      <c r="D1175" s="3" t="s">
        <v>1953</v>
      </c>
      <c r="E1175" t="s">
        <v>39</v>
      </c>
      <c r="F1175" s="2" t="str">
        <f t="shared" si="189"/>
        <v>218</v>
      </c>
      <c r="G1175" s="2" t="str">
        <f t="shared" si="190"/>
        <v>165</v>
      </c>
      <c r="H1175" s="2" t="str">
        <f t="shared" si="191"/>
        <v>32</v>
      </c>
      <c r="I1175" s="212"/>
    </row>
    <row r="1176" spans="1:12" x14ac:dyDescent="0.25">
      <c r="A1176" t="s">
        <v>1260</v>
      </c>
      <c r="B1176" t="s">
        <v>2567</v>
      </c>
      <c r="C1176" s="2" t="s">
        <v>760</v>
      </c>
      <c r="D1176" s="3" t="s">
        <v>2252</v>
      </c>
      <c r="E1176" t="s">
        <v>39</v>
      </c>
      <c r="F1176" s="2" t="str">
        <f t="shared" si="189"/>
        <v>219</v>
      </c>
      <c r="G1176" s="2" t="str">
        <f t="shared" si="190"/>
        <v>219</v>
      </c>
      <c r="H1176" s="2" t="str">
        <f t="shared" si="191"/>
        <v>112</v>
      </c>
      <c r="I1176" s="261"/>
    </row>
    <row r="1177" spans="1:12" x14ac:dyDescent="0.25">
      <c r="A1177" t="s">
        <v>1409</v>
      </c>
      <c r="B1177" t="s">
        <v>2567</v>
      </c>
      <c r="C1177" s="2" t="s">
        <v>2749</v>
      </c>
      <c r="D1177" s="3" t="s">
        <v>2137</v>
      </c>
      <c r="E1177" t="s">
        <v>39</v>
      </c>
      <c r="F1177" s="5">
        <v>227</v>
      </c>
      <c r="G1177" s="5">
        <v>209</v>
      </c>
      <c r="H1177" s="5">
        <v>10</v>
      </c>
      <c r="I1177" s="517"/>
      <c r="L1177" s="7"/>
    </row>
    <row r="1178" spans="1:12" x14ac:dyDescent="0.25">
      <c r="A1178" t="s">
        <v>1314</v>
      </c>
      <c r="B1178" t="s">
        <v>2567</v>
      </c>
      <c r="C1178" s="2" t="s">
        <v>2750</v>
      </c>
      <c r="D1178" s="3" t="s">
        <v>2027</v>
      </c>
      <c r="E1178" t="s">
        <v>39</v>
      </c>
      <c r="F1178" s="5">
        <v>232</v>
      </c>
      <c r="G1178" s="5">
        <v>214</v>
      </c>
      <c r="H1178" s="5">
        <v>107</v>
      </c>
      <c r="I1178" s="801"/>
      <c r="L1178" s="7"/>
    </row>
    <row r="1179" spans="1:12" x14ac:dyDescent="0.25">
      <c r="A1179" t="s">
        <v>1261</v>
      </c>
      <c r="B1179" t="s">
        <v>2567</v>
      </c>
      <c r="C1179" s="2" t="s">
        <v>1262</v>
      </c>
      <c r="D1179" s="3" t="s">
        <v>2253</v>
      </c>
      <c r="E1179" t="s">
        <v>39</v>
      </c>
      <c r="F1179" s="2" t="str">
        <f>LEFT(D1179,FIND(",",D1179)-1)</f>
        <v>234</v>
      </c>
      <c r="G1179" s="2" t="str">
        <f>MID(D1179,FIND(",",D1179)+1,FIND(",",D1179,FIND(",",D1179)+1)-FIND(",",D1179)-1)</f>
        <v>234</v>
      </c>
      <c r="H1179" s="2" t="str">
        <f>RIGHT(D1179,LEN(D1179)-FIND(",",D1179,FIND(",",D1179)+1))</f>
        <v>174</v>
      </c>
      <c r="I1179" s="348"/>
    </row>
    <row r="1180" spans="1:12" x14ac:dyDescent="0.25">
      <c r="A1180" t="s">
        <v>1507</v>
      </c>
      <c r="B1180" t="s">
        <v>2567</v>
      </c>
      <c r="C1180" s="2" t="s">
        <v>1204</v>
      </c>
      <c r="D1180" s="3" t="s">
        <v>2230</v>
      </c>
      <c r="E1180" t="s">
        <v>39</v>
      </c>
      <c r="F1180" s="5">
        <v>237</v>
      </c>
      <c r="G1180" s="5">
        <v>219</v>
      </c>
      <c r="H1180" s="5">
        <v>130</v>
      </c>
      <c r="I1180" s="635"/>
      <c r="L1180" s="7"/>
    </row>
    <row r="1181" spans="1:12" x14ac:dyDescent="0.25">
      <c r="A1181" t="s">
        <v>1220</v>
      </c>
      <c r="B1181" t="s">
        <v>2567</v>
      </c>
      <c r="C1181" s="2" t="s">
        <v>1221</v>
      </c>
      <c r="D1181" s="3" t="s">
        <v>1591</v>
      </c>
      <c r="E1181" t="s">
        <v>39</v>
      </c>
      <c r="F1181" s="2" t="str">
        <f t="shared" ref="F1181:F1193" si="192">LEFT(D1181,FIND(",",D1181)-1)</f>
        <v>238</v>
      </c>
      <c r="G1181" s="2" t="str">
        <f t="shared" ref="G1181:G1193" si="193">MID(D1181,FIND(",",D1181)+1,FIND(",",D1181,FIND(",",D1181)+1)-FIND(",",D1181)-1)</f>
        <v xml:space="preserve"> 232</v>
      </c>
      <c r="H1181" s="2" t="str">
        <f t="shared" ref="H1181:H1193" si="194">RIGHT(D1181,LEN(D1181)-FIND(",",D1181,FIND(",",D1181)+1))</f>
        <v xml:space="preserve"> 170</v>
      </c>
      <c r="I1181" s="577"/>
    </row>
    <row r="1182" spans="1:12" x14ac:dyDescent="0.25">
      <c r="A1182" t="s">
        <v>1184</v>
      </c>
      <c r="B1182" t="s">
        <v>2567</v>
      </c>
      <c r="C1182" s="2" t="s">
        <v>1185</v>
      </c>
      <c r="D1182" s="3" t="s">
        <v>1949</v>
      </c>
      <c r="E1182" t="s">
        <v>39</v>
      </c>
      <c r="F1182" s="2" t="str">
        <f t="shared" si="192"/>
        <v>238</v>
      </c>
      <c r="G1182" s="2" t="str">
        <f t="shared" si="193"/>
        <v>173</v>
      </c>
      <c r="H1182" s="2" t="str">
        <f t="shared" si="194"/>
        <v>14</v>
      </c>
      <c r="I1182" s="346"/>
    </row>
    <row r="1183" spans="1:12" x14ac:dyDescent="0.25">
      <c r="A1183" t="s">
        <v>1237</v>
      </c>
      <c r="B1183" t="s">
        <v>2567</v>
      </c>
      <c r="C1183" s="2" t="s">
        <v>1238</v>
      </c>
      <c r="D1183" s="3" t="s">
        <v>1955</v>
      </c>
      <c r="E1183" t="s">
        <v>39</v>
      </c>
      <c r="F1183" s="2" t="str">
        <f t="shared" si="192"/>
        <v>238</v>
      </c>
      <c r="G1183" s="2" t="str">
        <f t="shared" si="193"/>
        <v>180</v>
      </c>
      <c r="H1183" s="2" t="str">
        <f t="shared" si="194"/>
        <v>34</v>
      </c>
      <c r="I1183" s="670"/>
    </row>
    <row r="1184" spans="1:12" x14ac:dyDescent="0.25">
      <c r="A1184" t="s">
        <v>1254</v>
      </c>
      <c r="B1184" t="s">
        <v>2567</v>
      </c>
      <c r="C1184" s="2" t="s">
        <v>1255</v>
      </c>
      <c r="D1184" s="3" t="s">
        <v>1963</v>
      </c>
      <c r="E1184" t="s">
        <v>39</v>
      </c>
      <c r="F1184" s="2" t="str">
        <f t="shared" si="192"/>
        <v>238</v>
      </c>
      <c r="G1184" s="2" t="str">
        <f t="shared" si="193"/>
        <v>201</v>
      </c>
      <c r="H1184" s="2" t="str">
        <f t="shared" si="194"/>
        <v>0</v>
      </c>
      <c r="I1184" s="671"/>
    </row>
    <row r="1185" spans="1:12" x14ac:dyDescent="0.25">
      <c r="A1185" t="s">
        <v>1203</v>
      </c>
      <c r="B1185" t="s">
        <v>2567</v>
      </c>
      <c r="C1185" s="2" t="s">
        <v>1204</v>
      </c>
      <c r="D1185" s="3" t="s">
        <v>2261</v>
      </c>
      <c r="E1185" t="s">
        <v>39</v>
      </c>
      <c r="F1185" s="2" t="str">
        <f t="shared" si="192"/>
        <v>238</v>
      </c>
      <c r="G1185" s="2" t="str">
        <f t="shared" si="193"/>
        <v>220</v>
      </c>
      <c r="H1185" s="2" t="str">
        <f t="shared" si="194"/>
        <v>130</v>
      </c>
      <c r="I1185" s="797"/>
    </row>
    <row r="1186" spans="1:12" x14ac:dyDescent="0.25">
      <c r="A1186" t="s">
        <v>1199</v>
      </c>
      <c r="B1186" t="s">
        <v>2567</v>
      </c>
      <c r="C1186" s="2" t="s">
        <v>1200</v>
      </c>
      <c r="D1186" s="3" t="s">
        <v>2259</v>
      </c>
      <c r="E1186" t="s">
        <v>39</v>
      </c>
      <c r="F1186" s="2" t="str">
        <f t="shared" si="192"/>
        <v>238</v>
      </c>
      <c r="G1186" s="2" t="str">
        <f t="shared" si="193"/>
        <v>221</v>
      </c>
      <c r="H1186" s="2" t="str">
        <f t="shared" si="194"/>
        <v>130</v>
      </c>
      <c r="I1186" s="728"/>
    </row>
    <row r="1187" spans="1:12" x14ac:dyDescent="0.25">
      <c r="A1187" t="s">
        <v>1220</v>
      </c>
      <c r="B1187" t="s">
        <v>2567</v>
      </c>
      <c r="C1187" s="2" t="s">
        <v>1221</v>
      </c>
      <c r="D1187" s="3" t="s">
        <v>2268</v>
      </c>
      <c r="E1187" t="s">
        <v>39</v>
      </c>
      <c r="F1187" s="2" t="str">
        <f t="shared" si="192"/>
        <v>238</v>
      </c>
      <c r="G1187" s="2" t="str">
        <f t="shared" si="193"/>
        <v>232</v>
      </c>
      <c r="H1187" s="2" t="str">
        <f t="shared" si="194"/>
        <v>170</v>
      </c>
      <c r="I1187" s="577"/>
    </row>
    <row r="1188" spans="1:12" x14ac:dyDescent="0.25">
      <c r="A1188" t="s">
        <v>1227</v>
      </c>
      <c r="B1188" t="s">
        <v>2567</v>
      </c>
      <c r="C1188" s="2" t="s">
        <v>1228</v>
      </c>
      <c r="D1188" s="3" t="s">
        <v>2271</v>
      </c>
      <c r="E1188" t="s">
        <v>39</v>
      </c>
      <c r="F1188" s="2" t="str">
        <f t="shared" si="192"/>
        <v>238</v>
      </c>
      <c r="G1188" s="2" t="str">
        <f t="shared" si="193"/>
        <v>232</v>
      </c>
      <c r="H1188" s="2" t="str">
        <f t="shared" si="194"/>
        <v>205</v>
      </c>
      <c r="I1188" s="426"/>
    </row>
    <row r="1189" spans="1:12" x14ac:dyDescent="0.25">
      <c r="A1189" t="s">
        <v>1193</v>
      </c>
      <c r="B1189" t="s">
        <v>2567</v>
      </c>
      <c r="C1189" s="2" t="s">
        <v>1194</v>
      </c>
      <c r="D1189" s="3" t="s">
        <v>2256</v>
      </c>
      <c r="E1189" t="s">
        <v>39</v>
      </c>
      <c r="F1189" s="2" t="str">
        <f t="shared" si="192"/>
        <v>238</v>
      </c>
      <c r="G1189" s="2" t="str">
        <f t="shared" si="193"/>
        <v>233</v>
      </c>
      <c r="H1189" s="2" t="str">
        <f t="shared" si="194"/>
        <v>191</v>
      </c>
      <c r="I1189" s="608"/>
    </row>
    <row r="1190" spans="1:12" x14ac:dyDescent="0.25">
      <c r="A1190" t="s">
        <v>1246</v>
      </c>
      <c r="B1190" t="s">
        <v>2567</v>
      </c>
      <c r="C1190" s="2" t="s">
        <v>1247</v>
      </c>
      <c r="D1190" s="3" t="s">
        <v>1959</v>
      </c>
      <c r="E1190" t="s">
        <v>39</v>
      </c>
      <c r="F1190" s="2" t="str">
        <f t="shared" si="192"/>
        <v>238</v>
      </c>
      <c r="G1190" s="2" t="str">
        <f t="shared" si="193"/>
        <v>238</v>
      </c>
      <c r="H1190" s="2" t="str">
        <f t="shared" si="194"/>
        <v>0</v>
      </c>
      <c r="I1190" s="427"/>
    </row>
    <row r="1191" spans="1:12" x14ac:dyDescent="0.25">
      <c r="A1191" t="s">
        <v>1214</v>
      </c>
      <c r="B1191" t="s">
        <v>2567</v>
      </c>
      <c r="C1191" s="2" t="s">
        <v>1215</v>
      </c>
      <c r="D1191" s="3" t="s">
        <v>2265</v>
      </c>
      <c r="E1191" t="s">
        <v>39</v>
      </c>
      <c r="F1191" s="2" t="str">
        <f t="shared" si="192"/>
        <v>238</v>
      </c>
      <c r="G1191" s="2" t="str">
        <f t="shared" si="193"/>
        <v>238</v>
      </c>
      <c r="H1191" s="2" t="str">
        <f t="shared" si="194"/>
        <v>209</v>
      </c>
      <c r="I1191" s="609"/>
    </row>
    <row r="1192" spans="1:12" x14ac:dyDescent="0.25">
      <c r="A1192" t="s">
        <v>1533</v>
      </c>
      <c r="B1192" t="s">
        <v>2567</v>
      </c>
      <c r="C1192" s="2" t="s">
        <v>743</v>
      </c>
      <c r="D1192" s="3" t="s">
        <v>1592</v>
      </c>
      <c r="E1192" t="s">
        <v>39</v>
      </c>
      <c r="F1192" s="2" t="str">
        <f t="shared" si="192"/>
        <v>240</v>
      </c>
      <c r="G1192" s="2" t="str">
        <f t="shared" si="193"/>
        <v xml:space="preserve"> 230</v>
      </c>
      <c r="H1192" s="2" t="str">
        <f t="shared" si="194"/>
        <v xml:space="preserve"> 140</v>
      </c>
      <c r="I1192" s="22"/>
    </row>
    <row r="1193" spans="1:12" x14ac:dyDescent="0.25">
      <c r="A1193" t="s">
        <v>112</v>
      </c>
      <c r="B1193" t="s">
        <v>2567</v>
      </c>
      <c r="C1193" s="2" t="s">
        <v>1165</v>
      </c>
      <c r="D1193" s="3" t="s">
        <v>2315</v>
      </c>
      <c r="E1193" t="s">
        <v>39</v>
      </c>
      <c r="F1193" s="2" t="str">
        <f t="shared" si="192"/>
        <v>245</v>
      </c>
      <c r="G1193" s="2" t="str">
        <f t="shared" si="193"/>
        <v>222</v>
      </c>
      <c r="H1193" s="2" t="str">
        <f t="shared" si="194"/>
        <v>179</v>
      </c>
      <c r="I1193" s="158"/>
    </row>
    <row r="1194" spans="1:12" x14ac:dyDescent="0.25">
      <c r="A1194" t="s">
        <v>1328</v>
      </c>
      <c r="B1194" t="s">
        <v>2567</v>
      </c>
      <c r="C1194" s="2" t="s">
        <v>589</v>
      </c>
      <c r="D1194" s="3" t="s">
        <v>2043</v>
      </c>
      <c r="E1194" t="s">
        <v>39</v>
      </c>
      <c r="F1194" s="5">
        <v>245</v>
      </c>
      <c r="G1194" s="5">
        <v>245</v>
      </c>
      <c r="H1194" s="5">
        <v>219</v>
      </c>
      <c r="I1194" s="677"/>
      <c r="L1194" s="7"/>
    </row>
    <row r="1195" spans="1:12" x14ac:dyDescent="0.25">
      <c r="A1195" t="s">
        <v>109</v>
      </c>
      <c r="B1195" t="s">
        <v>2567</v>
      </c>
      <c r="C1195" s="2" t="s">
        <v>589</v>
      </c>
      <c r="D1195" s="3" t="s">
        <v>2313</v>
      </c>
      <c r="E1195" t="s">
        <v>39</v>
      </c>
      <c r="F1195" s="2" t="str">
        <f>LEFT(D1195,FIND(",",D1195)-1)</f>
        <v>245</v>
      </c>
      <c r="G1195" s="2" t="str">
        <f>MID(D1195,FIND(",",D1195)+1,FIND(",",D1195,FIND(",",D1195)+1)-FIND(",",D1195)-1)</f>
        <v>245</v>
      </c>
      <c r="H1195" s="2" t="str">
        <f>RIGHT(D1195,LEN(D1195)-FIND(",",D1195,FIND(",",D1195)+1))</f>
        <v>220</v>
      </c>
      <c r="I1195" s="31"/>
    </row>
    <row r="1196" spans="1:12" x14ac:dyDescent="0.25">
      <c r="A1196" t="s">
        <v>1209</v>
      </c>
      <c r="B1196" t="s">
        <v>2567</v>
      </c>
      <c r="C1196" s="2" t="s">
        <v>1210</v>
      </c>
      <c r="D1196" s="3" t="s">
        <v>1587</v>
      </c>
      <c r="E1196" t="s">
        <v>39</v>
      </c>
      <c r="F1196" s="2" t="str">
        <f>LEFT(D1196,FIND(",",D1196)-1)</f>
        <v>250</v>
      </c>
      <c r="G1196" s="2" t="str">
        <f>MID(D1196,FIND(",",D1196)+1,FIND(",",D1196,FIND(",",D1196)+1)-FIND(",",D1196)-1)</f>
        <v xml:space="preserve"> 250</v>
      </c>
      <c r="H1196" s="2" t="str">
        <f>RIGHT(D1196,LEN(D1196)-FIND(",",D1196,FIND(",",D1196)+1))</f>
        <v xml:space="preserve"> 210</v>
      </c>
      <c r="I1196" s="312"/>
    </row>
    <row r="1197" spans="1:12" x14ac:dyDescent="0.25">
      <c r="A1197" t="s">
        <v>1323</v>
      </c>
      <c r="B1197" t="s">
        <v>2567</v>
      </c>
      <c r="C1197" s="2" t="s">
        <v>2751</v>
      </c>
      <c r="D1197" s="3" t="s">
        <v>2038</v>
      </c>
      <c r="E1197" t="s">
        <v>39</v>
      </c>
      <c r="F1197" s="5">
        <v>250</v>
      </c>
      <c r="G1197" s="5">
        <v>232</v>
      </c>
      <c r="H1197" s="5">
        <v>181</v>
      </c>
      <c r="I1197" s="434"/>
      <c r="L1197" s="7"/>
    </row>
    <row r="1198" spans="1:12" x14ac:dyDescent="0.25">
      <c r="A1198" t="s">
        <v>1424</v>
      </c>
      <c r="B1198" t="s">
        <v>2567</v>
      </c>
      <c r="C1198" s="2" t="s">
        <v>2752</v>
      </c>
      <c r="D1198" s="3" t="s">
        <v>2151</v>
      </c>
      <c r="E1198" t="s">
        <v>39</v>
      </c>
      <c r="F1198" s="5">
        <v>250</v>
      </c>
      <c r="G1198" s="5">
        <v>237</v>
      </c>
      <c r="H1198" s="5">
        <v>92</v>
      </c>
      <c r="I1198" s="366"/>
      <c r="L1198" s="7"/>
    </row>
    <row r="1199" spans="1:12" x14ac:dyDescent="0.25">
      <c r="A1199" t="s">
        <v>115</v>
      </c>
      <c r="B1199" t="s">
        <v>2567</v>
      </c>
      <c r="C1199" s="2" t="s">
        <v>1210</v>
      </c>
      <c r="D1199" s="3" t="s">
        <v>2263</v>
      </c>
      <c r="E1199" t="s">
        <v>39</v>
      </c>
      <c r="F1199" s="2" t="str">
        <f>LEFT(D1199,FIND(",",D1199)-1)</f>
        <v>250</v>
      </c>
      <c r="G1199" s="2" t="str">
        <f>MID(D1199,FIND(",",D1199)+1,FIND(",",D1199,FIND(",",D1199)+1)-FIND(",",D1199)-1)</f>
        <v>250</v>
      </c>
      <c r="H1199" s="2" t="str">
        <f>RIGHT(D1199,LEN(D1199)-FIND(",",D1199,FIND(",",D1199)+1))</f>
        <v>210</v>
      </c>
      <c r="I1199" s="312"/>
    </row>
    <row r="1200" spans="1:12" x14ac:dyDescent="0.25">
      <c r="A1200" t="s">
        <v>1209</v>
      </c>
      <c r="B1200" t="s">
        <v>2567</v>
      </c>
      <c r="C1200" s="2" t="s">
        <v>1210</v>
      </c>
      <c r="D1200" s="3" t="s">
        <v>2263</v>
      </c>
      <c r="E1200" t="s">
        <v>39</v>
      </c>
      <c r="F1200" s="2" t="str">
        <f>LEFT(D1200,FIND(",",D1200)-1)</f>
        <v>250</v>
      </c>
      <c r="G1200" s="2" t="str">
        <f>MID(D1200,FIND(",",D1200)+1,FIND(",",D1200,FIND(",",D1200)+1)-FIND(",",D1200)-1)</f>
        <v>250</v>
      </c>
      <c r="H1200" s="2" t="str">
        <f>RIGHT(D1200,LEN(D1200)-FIND(",",D1200,FIND(",",D1200)+1))</f>
        <v>210</v>
      </c>
      <c r="I1200" s="312"/>
    </row>
    <row r="1201" spans="1:12" x14ac:dyDescent="0.25">
      <c r="A1201" t="s">
        <v>1317</v>
      </c>
      <c r="B1201" t="s">
        <v>2567</v>
      </c>
      <c r="C1201" s="2" t="s">
        <v>2753</v>
      </c>
      <c r="D1201" s="3" t="s">
        <v>2030</v>
      </c>
      <c r="E1201" t="s">
        <v>39</v>
      </c>
      <c r="F1201" s="5">
        <v>252</v>
      </c>
      <c r="G1201" s="5">
        <v>237</v>
      </c>
      <c r="H1201" s="5">
        <v>0</v>
      </c>
      <c r="I1201" s="506"/>
      <c r="L1201" s="7"/>
    </row>
    <row r="1202" spans="1:12" x14ac:dyDescent="0.25">
      <c r="A1202" t="s">
        <v>1531</v>
      </c>
      <c r="B1202" t="s">
        <v>2567</v>
      </c>
      <c r="C1202" s="2" t="s">
        <v>1252</v>
      </c>
      <c r="D1202" s="3" t="s">
        <v>1583</v>
      </c>
      <c r="E1202" t="s">
        <v>39</v>
      </c>
      <c r="F1202" s="2" t="str">
        <f t="shared" ref="F1202:F1208" si="195">LEFT(D1202,FIND(",",D1202)-1)</f>
        <v>255</v>
      </c>
      <c r="G1202" s="2" t="str">
        <f t="shared" ref="G1202:G1208" si="196">MID(D1202,FIND(",",D1202)+1,FIND(",",D1202,FIND(",",D1202)+1)-FIND(",",D1202)-1)</f>
        <v xml:space="preserve"> 215</v>
      </c>
      <c r="H1202" s="2" t="str">
        <f t="shared" ref="H1202:H1208" si="197">RIGHT(D1202,LEN(D1202)-FIND(",",D1202,FIND(",",D1202)+1))</f>
        <v xml:space="preserve"> 0</v>
      </c>
      <c r="I1202" s="151"/>
    </row>
    <row r="1203" spans="1:12" x14ac:dyDescent="0.25">
      <c r="A1203" t="s">
        <v>795</v>
      </c>
      <c r="B1203" t="s">
        <v>2567</v>
      </c>
      <c r="C1203" s="2" t="s">
        <v>796</v>
      </c>
      <c r="D1203" s="3" t="s">
        <v>1590</v>
      </c>
      <c r="E1203" t="s">
        <v>39</v>
      </c>
      <c r="F1203" s="2" t="str">
        <f t="shared" si="195"/>
        <v>255</v>
      </c>
      <c r="G1203" s="2" t="str">
        <f t="shared" si="196"/>
        <v xml:space="preserve"> 218</v>
      </c>
      <c r="H1203" s="2" t="str">
        <f t="shared" si="197"/>
        <v xml:space="preserve"> 185</v>
      </c>
      <c r="I1203" s="128"/>
    </row>
    <row r="1204" spans="1:12" x14ac:dyDescent="0.25">
      <c r="A1204" t="s">
        <v>1532</v>
      </c>
      <c r="B1204" t="s">
        <v>2567</v>
      </c>
      <c r="C1204" s="2" t="s">
        <v>1243</v>
      </c>
      <c r="D1204" s="3" t="s">
        <v>1589</v>
      </c>
      <c r="E1204" t="s">
        <v>39</v>
      </c>
      <c r="F1204" s="2" t="str">
        <f t="shared" si="195"/>
        <v>255</v>
      </c>
      <c r="G1204" s="2" t="str">
        <f t="shared" si="196"/>
        <v xml:space="preserve"> 228</v>
      </c>
      <c r="H1204" s="2" t="str">
        <f t="shared" si="197"/>
        <v xml:space="preserve"> 181</v>
      </c>
      <c r="I1204" s="33"/>
    </row>
    <row r="1205" spans="1:12" x14ac:dyDescent="0.25">
      <c r="A1205" t="s">
        <v>1222</v>
      </c>
      <c r="B1205" t="s">
        <v>2567</v>
      </c>
      <c r="C1205" s="2" t="s">
        <v>1223</v>
      </c>
      <c r="D1205" s="3" t="s">
        <v>1588</v>
      </c>
      <c r="E1205" t="s">
        <v>39</v>
      </c>
      <c r="F1205" s="2" t="str">
        <f t="shared" si="195"/>
        <v>255</v>
      </c>
      <c r="G1205" s="2" t="str">
        <f t="shared" si="196"/>
        <v xml:space="preserve"> 239</v>
      </c>
      <c r="H1205" s="2" t="str">
        <f t="shared" si="197"/>
        <v xml:space="preserve"> 213</v>
      </c>
      <c r="I1205" s="379"/>
    </row>
    <row r="1206" spans="1:12" x14ac:dyDescent="0.25">
      <c r="A1206" t="s">
        <v>1190</v>
      </c>
      <c r="B1206" t="s">
        <v>2567</v>
      </c>
      <c r="C1206" s="2" t="s">
        <v>1191</v>
      </c>
      <c r="D1206" s="3" t="s">
        <v>1586</v>
      </c>
      <c r="E1206" t="s">
        <v>39</v>
      </c>
      <c r="F1206" s="2" t="str">
        <f t="shared" si="195"/>
        <v>255</v>
      </c>
      <c r="G1206" s="2" t="str">
        <f t="shared" si="196"/>
        <v xml:space="preserve"> 250</v>
      </c>
      <c r="H1206" s="2" t="str">
        <f t="shared" si="197"/>
        <v xml:space="preserve"> 205</v>
      </c>
      <c r="I1206" s="220"/>
    </row>
    <row r="1207" spans="1:12" x14ac:dyDescent="0.25">
      <c r="A1207" t="s">
        <v>5</v>
      </c>
      <c r="B1207" t="s">
        <v>2567</v>
      </c>
      <c r="C1207" s="2" t="s">
        <v>1244</v>
      </c>
      <c r="D1207" s="3" t="s">
        <v>1584</v>
      </c>
      <c r="E1207" t="s">
        <v>39</v>
      </c>
      <c r="F1207" s="2" t="str">
        <f t="shared" si="195"/>
        <v>255</v>
      </c>
      <c r="G1207" s="2" t="str">
        <f t="shared" si="196"/>
        <v xml:space="preserve"> 255</v>
      </c>
      <c r="H1207" s="2" t="str">
        <f t="shared" si="197"/>
        <v xml:space="preserve"> 0</v>
      </c>
      <c r="I1207" s="14"/>
    </row>
    <row r="1208" spans="1:12" x14ac:dyDescent="0.25">
      <c r="A1208" t="s">
        <v>1211</v>
      </c>
      <c r="B1208" t="s">
        <v>2567</v>
      </c>
      <c r="C1208" s="2" t="s">
        <v>1212</v>
      </c>
      <c r="D1208" s="3" t="s">
        <v>1585</v>
      </c>
      <c r="E1208" t="s">
        <v>39</v>
      </c>
      <c r="F1208" s="2" t="str">
        <f t="shared" si="195"/>
        <v>255</v>
      </c>
      <c r="G1208" s="2" t="str">
        <f t="shared" si="196"/>
        <v xml:space="preserve"> 255</v>
      </c>
      <c r="H1208" s="2" t="str">
        <f t="shared" si="197"/>
        <v xml:space="preserve"> 224</v>
      </c>
      <c r="I1208" s="284"/>
    </row>
    <row r="1209" spans="1:12" x14ac:dyDescent="0.25">
      <c r="A1209" t="s">
        <v>1467</v>
      </c>
      <c r="B1209" t="s">
        <v>2567</v>
      </c>
      <c r="C1209" s="2" t="s">
        <v>2754</v>
      </c>
      <c r="D1209" s="3" t="s">
        <v>2195</v>
      </c>
      <c r="E1209" t="s">
        <v>39</v>
      </c>
      <c r="F1209" s="5">
        <v>255</v>
      </c>
      <c r="G1209" s="5">
        <v>153</v>
      </c>
      <c r="H1209" s="5">
        <v>51</v>
      </c>
      <c r="I1209" s="830"/>
      <c r="L1209" s="7"/>
    </row>
    <row r="1210" spans="1:12" x14ac:dyDescent="0.25">
      <c r="A1210" t="s">
        <v>1989</v>
      </c>
      <c r="B1210" t="s">
        <v>2567</v>
      </c>
      <c r="C1210" s="2" t="s">
        <v>2755</v>
      </c>
      <c r="D1210" s="3" t="s">
        <v>2078</v>
      </c>
      <c r="E1210" t="s">
        <v>39</v>
      </c>
      <c r="F1210" s="5">
        <v>255</v>
      </c>
      <c r="G1210" s="5">
        <v>171</v>
      </c>
      <c r="H1210" s="5">
        <v>28</v>
      </c>
      <c r="I1210" s="296"/>
      <c r="L1210" s="7"/>
    </row>
    <row r="1211" spans="1:12" x14ac:dyDescent="0.25">
      <c r="A1211" t="s">
        <v>1405</v>
      </c>
      <c r="B1211" t="s">
        <v>2567</v>
      </c>
      <c r="C1211" s="2" t="s">
        <v>2756</v>
      </c>
      <c r="D1211" s="3" t="s">
        <v>2131</v>
      </c>
      <c r="E1211" t="s">
        <v>39</v>
      </c>
      <c r="F1211" s="5">
        <v>255</v>
      </c>
      <c r="G1211" s="5">
        <v>179</v>
      </c>
      <c r="H1211" s="5">
        <v>0</v>
      </c>
      <c r="I1211" s="687"/>
      <c r="L1211" s="7"/>
    </row>
    <row r="1212" spans="1:12" x14ac:dyDescent="0.25">
      <c r="A1212" t="s">
        <v>1182</v>
      </c>
      <c r="B1212" t="s">
        <v>2567</v>
      </c>
      <c r="C1212" s="2" t="s">
        <v>1183</v>
      </c>
      <c r="D1212" s="3" t="s">
        <v>1948</v>
      </c>
      <c r="E1212" t="s">
        <v>39</v>
      </c>
      <c r="F1212" s="2" t="str">
        <f>LEFT(D1212,FIND(",",D1212)-1)</f>
        <v>255</v>
      </c>
      <c r="G1212" s="2" t="str">
        <f>MID(D1212,FIND(",",D1212)+1,FIND(",",D1212,FIND(",",D1212)+1)-FIND(",",D1212)-1)</f>
        <v>185</v>
      </c>
      <c r="H1212" s="2" t="str">
        <f>RIGHT(D1212,LEN(D1212)-FIND(",",D1212,FIND(",",D1212)+1))</f>
        <v>15</v>
      </c>
      <c r="I1212" s="796"/>
    </row>
    <row r="1213" spans="1:12" x14ac:dyDescent="0.25">
      <c r="A1213" t="s">
        <v>1302</v>
      </c>
      <c r="B1213" t="s">
        <v>2567</v>
      </c>
      <c r="C1213" s="2" t="s">
        <v>2757</v>
      </c>
      <c r="D1213" s="3" t="s">
        <v>2015</v>
      </c>
      <c r="E1213" t="s">
        <v>39</v>
      </c>
      <c r="F1213" s="5">
        <v>255</v>
      </c>
      <c r="G1213" s="5">
        <v>191</v>
      </c>
      <c r="H1213" s="5">
        <v>0</v>
      </c>
      <c r="I1213" s="613"/>
      <c r="L1213" s="7"/>
    </row>
    <row r="1214" spans="1:12" x14ac:dyDescent="0.25">
      <c r="A1214" t="s">
        <v>1235</v>
      </c>
      <c r="B1214" t="s">
        <v>2567</v>
      </c>
      <c r="C1214" s="2" t="s">
        <v>1236</v>
      </c>
      <c r="D1214" s="3" t="s">
        <v>1954</v>
      </c>
      <c r="E1214" t="s">
        <v>39</v>
      </c>
      <c r="F1214" s="2" t="str">
        <f>LEFT(D1214,FIND(",",D1214)-1)</f>
        <v>255</v>
      </c>
      <c r="G1214" s="2" t="str">
        <f>MID(D1214,FIND(",",D1214)+1,FIND(",",D1214,FIND(",",D1214)+1)-FIND(",",D1214)-1)</f>
        <v>193</v>
      </c>
      <c r="H1214" s="2" t="str">
        <f>RIGHT(D1214,LEN(D1214)-FIND(",",D1214,FIND(",",D1214)+1))</f>
        <v>37</v>
      </c>
      <c r="I1214" s="610"/>
    </row>
    <row r="1215" spans="1:12" x14ac:dyDescent="0.25">
      <c r="A1215" t="s">
        <v>1436</v>
      </c>
      <c r="B1215" t="s">
        <v>2567</v>
      </c>
      <c r="C1215" s="2" t="s">
        <v>2758</v>
      </c>
      <c r="D1215" s="3" t="s">
        <v>2164</v>
      </c>
      <c r="E1215" t="s">
        <v>39</v>
      </c>
      <c r="F1215" s="5">
        <v>255</v>
      </c>
      <c r="G1215" s="5">
        <v>212</v>
      </c>
      <c r="H1215" s="5">
        <v>0</v>
      </c>
      <c r="I1215" s="627"/>
      <c r="L1215" s="7"/>
    </row>
    <row r="1216" spans="1:12" x14ac:dyDescent="0.25">
      <c r="A1216" t="s">
        <v>32</v>
      </c>
      <c r="B1216" t="s">
        <v>2567</v>
      </c>
      <c r="C1216" s="2" t="s">
        <v>1252</v>
      </c>
      <c r="D1216" s="3" t="s">
        <v>1962</v>
      </c>
      <c r="E1216" t="s">
        <v>39</v>
      </c>
      <c r="F1216" s="2" t="str">
        <f t="shared" ref="F1216:F1224" si="198">LEFT(D1216,FIND(",",D1216)-1)</f>
        <v>255</v>
      </c>
      <c r="G1216" s="2" t="str">
        <f t="shared" ref="G1216:G1224" si="199">MID(D1216,FIND(",",D1216)+1,FIND(",",D1216,FIND(",",D1216)+1)-FIND(",",D1216)-1)</f>
        <v>215</v>
      </c>
      <c r="H1216" s="2" t="str">
        <f t="shared" ref="H1216:H1224" si="200">RIGHT(D1216,LEN(D1216)-FIND(",",D1216,FIND(",",D1216)+1))</f>
        <v>0</v>
      </c>
      <c r="I1216" s="151"/>
    </row>
    <row r="1217" spans="1:12" x14ac:dyDescent="0.25">
      <c r="A1217" t="s">
        <v>32</v>
      </c>
      <c r="B1217" t="s">
        <v>2567</v>
      </c>
      <c r="C1217" s="2" t="s">
        <v>1252</v>
      </c>
      <c r="D1217" s="3" t="s">
        <v>1962</v>
      </c>
      <c r="E1217" t="s">
        <v>39</v>
      </c>
      <c r="F1217" s="2" t="str">
        <f t="shared" si="198"/>
        <v>255</v>
      </c>
      <c r="G1217" s="2" t="str">
        <f t="shared" si="199"/>
        <v>215</v>
      </c>
      <c r="H1217" s="2" t="str">
        <f t="shared" si="200"/>
        <v>0</v>
      </c>
      <c r="I1217" s="151"/>
    </row>
    <row r="1218" spans="1:12" x14ac:dyDescent="0.25">
      <c r="A1218" t="s">
        <v>1253</v>
      </c>
      <c r="B1218" t="s">
        <v>2567</v>
      </c>
      <c r="C1218" s="2" t="s">
        <v>1252</v>
      </c>
      <c r="D1218" s="3" t="s">
        <v>1962</v>
      </c>
      <c r="E1218" t="s">
        <v>39</v>
      </c>
      <c r="F1218" s="2" t="str">
        <f t="shared" si="198"/>
        <v>255</v>
      </c>
      <c r="G1218" s="2" t="str">
        <f t="shared" si="199"/>
        <v>215</v>
      </c>
      <c r="H1218" s="2" t="str">
        <f t="shared" si="200"/>
        <v>0</v>
      </c>
      <c r="I1218" s="151"/>
    </row>
    <row r="1219" spans="1:12" x14ac:dyDescent="0.25">
      <c r="A1219" t="s">
        <v>125</v>
      </c>
      <c r="B1219" t="s">
        <v>2567</v>
      </c>
      <c r="C1219" s="2" t="s">
        <v>1243</v>
      </c>
      <c r="D1219" s="3" t="s">
        <v>2254</v>
      </c>
      <c r="E1219" t="s">
        <v>39</v>
      </c>
      <c r="F1219" s="2" t="str">
        <f t="shared" si="198"/>
        <v>255</v>
      </c>
      <c r="G1219" s="2" t="str">
        <f t="shared" si="199"/>
        <v>228</v>
      </c>
      <c r="H1219" s="2" t="str">
        <f t="shared" si="200"/>
        <v>181</v>
      </c>
      <c r="I1219" s="33"/>
    </row>
    <row r="1220" spans="1:12" x14ac:dyDescent="0.25">
      <c r="A1220" t="s">
        <v>110</v>
      </c>
      <c r="B1220" t="s">
        <v>2567</v>
      </c>
      <c r="C1220" s="2" t="s">
        <v>804</v>
      </c>
      <c r="D1220" s="3" t="s">
        <v>2314</v>
      </c>
      <c r="E1220" t="s">
        <v>39</v>
      </c>
      <c r="F1220" s="2" t="str">
        <f t="shared" si="198"/>
        <v>255</v>
      </c>
      <c r="G1220" s="2" t="str">
        <f t="shared" si="199"/>
        <v>228</v>
      </c>
      <c r="H1220" s="2" t="str">
        <f t="shared" si="200"/>
        <v>196</v>
      </c>
      <c r="I1220" s="117"/>
    </row>
    <row r="1221" spans="1:12" x14ac:dyDescent="0.25">
      <c r="A1221" t="s">
        <v>111</v>
      </c>
      <c r="B1221" t="s">
        <v>2567</v>
      </c>
      <c r="C1221" s="2" t="s">
        <v>1179</v>
      </c>
      <c r="D1221" s="3" t="s">
        <v>2274</v>
      </c>
      <c r="E1221" t="s">
        <v>39</v>
      </c>
      <c r="F1221" s="2" t="str">
        <f t="shared" si="198"/>
        <v>255</v>
      </c>
      <c r="G1221" s="2" t="str">
        <f t="shared" si="199"/>
        <v>235</v>
      </c>
      <c r="H1221" s="2" t="str">
        <f t="shared" si="200"/>
        <v>205</v>
      </c>
      <c r="I1221" s="126"/>
    </row>
    <row r="1222" spans="1:12" x14ac:dyDescent="0.25">
      <c r="A1222" t="s">
        <v>1178</v>
      </c>
      <c r="B1222" t="s">
        <v>2567</v>
      </c>
      <c r="C1222" s="2" t="s">
        <v>1179</v>
      </c>
      <c r="D1222" s="3" t="s">
        <v>2274</v>
      </c>
      <c r="E1222" t="s">
        <v>39</v>
      </c>
      <c r="F1222" s="2" t="str">
        <f t="shared" si="198"/>
        <v>255</v>
      </c>
      <c r="G1222" s="2" t="str">
        <f t="shared" si="199"/>
        <v>235</v>
      </c>
      <c r="H1222" s="2" t="str">
        <f t="shared" si="200"/>
        <v>205</v>
      </c>
      <c r="I1222" s="126"/>
    </row>
    <row r="1223" spans="1:12" x14ac:dyDescent="0.25">
      <c r="A1223" t="s">
        <v>1201</v>
      </c>
      <c r="B1223" t="s">
        <v>2567</v>
      </c>
      <c r="C1223" s="2" t="s">
        <v>1202</v>
      </c>
      <c r="D1223" s="3" t="s">
        <v>2260</v>
      </c>
      <c r="E1223" t="s">
        <v>39</v>
      </c>
      <c r="F1223" s="2" t="str">
        <f t="shared" si="198"/>
        <v>255</v>
      </c>
      <c r="G1223" s="2" t="str">
        <f t="shared" si="199"/>
        <v>236</v>
      </c>
      <c r="H1223" s="2" t="str">
        <f t="shared" si="200"/>
        <v>139</v>
      </c>
      <c r="I1223" s="103"/>
    </row>
    <row r="1224" spans="1:12" x14ac:dyDescent="0.25">
      <c r="A1224" t="s">
        <v>1222</v>
      </c>
      <c r="B1224" t="s">
        <v>2567</v>
      </c>
      <c r="C1224" s="2" t="s">
        <v>1223</v>
      </c>
      <c r="D1224" s="3" t="s">
        <v>2269</v>
      </c>
      <c r="E1224" t="s">
        <v>39</v>
      </c>
      <c r="F1224" s="2" t="str">
        <f t="shared" si="198"/>
        <v>255</v>
      </c>
      <c r="G1224" s="2" t="str">
        <f t="shared" si="199"/>
        <v>239</v>
      </c>
      <c r="H1224" s="2" t="str">
        <f t="shared" si="200"/>
        <v>213</v>
      </c>
      <c r="I1224" s="379"/>
    </row>
    <row r="1225" spans="1:12" x14ac:dyDescent="0.25">
      <c r="A1225" t="s">
        <v>1377</v>
      </c>
      <c r="B1225" t="s">
        <v>2567</v>
      </c>
      <c r="C1225" s="2" t="s">
        <v>2759</v>
      </c>
      <c r="D1225" s="3" t="s">
        <v>2101</v>
      </c>
      <c r="E1225" t="s">
        <v>39</v>
      </c>
      <c r="F1225" s="5">
        <v>255</v>
      </c>
      <c r="G1225" s="5">
        <v>240</v>
      </c>
      <c r="H1225" s="5">
        <v>0</v>
      </c>
      <c r="I1225" s="513"/>
      <c r="L1225" s="7"/>
    </row>
    <row r="1226" spans="1:12" x14ac:dyDescent="0.25">
      <c r="A1226" t="s">
        <v>113</v>
      </c>
      <c r="B1226" t="s">
        <v>2567</v>
      </c>
      <c r="C1226" s="2" t="s">
        <v>1225</v>
      </c>
      <c r="D1226" s="3" t="s">
        <v>2270</v>
      </c>
      <c r="E1226" t="s">
        <v>39</v>
      </c>
      <c r="F1226" s="2" t="str">
        <f t="shared" ref="F1226:F1234" si="201">LEFT(D1226,FIND(",",D1226)-1)</f>
        <v>255</v>
      </c>
      <c r="G1226" s="2" t="str">
        <f t="shared" ref="G1226:G1234" si="202">MID(D1226,FIND(",",D1226)+1,FIND(",",D1226,FIND(",",D1226)+1)-FIND(",",D1226)-1)</f>
        <v>248</v>
      </c>
      <c r="H1226" s="2" t="str">
        <f t="shared" ref="H1226:H1234" si="203">RIGHT(D1226,LEN(D1226)-FIND(",",D1226,FIND(",",D1226)+1))</f>
        <v>220</v>
      </c>
      <c r="I1226" s="188"/>
    </row>
    <row r="1227" spans="1:12" x14ac:dyDescent="0.25">
      <c r="A1227" t="s">
        <v>1224</v>
      </c>
      <c r="B1227" t="s">
        <v>2567</v>
      </c>
      <c r="C1227" s="2" t="s">
        <v>1225</v>
      </c>
      <c r="D1227" s="3" t="s">
        <v>2270</v>
      </c>
      <c r="E1227" t="s">
        <v>39</v>
      </c>
      <c r="F1227" s="2" t="str">
        <f t="shared" si="201"/>
        <v>255</v>
      </c>
      <c r="G1227" s="2" t="str">
        <f t="shared" si="202"/>
        <v>248</v>
      </c>
      <c r="H1227" s="2" t="str">
        <f t="shared" si="203"/>
        <v>220</v>
      </c>
      <c r="I1227" s="188"/>
    </row>
    <row r="1228" spans="1:12" x14ac:dyDescent="0.25">
      <c r="A1228" t="s">
        <v>1226</v>
      </c>
      <c r="B1228" t="s">
        <v>2567</v>
      </c>
      <c r="C1228" s="2" t="s">
        <v>1225</v>
      </c>
      <c r="D1228" s="3" t="s">
        <v>2270</v>
      </c>
      <c r="E1228" t="s">
        <v>39</v>
      </c>
      <c r="F1228" s="2" t="str">
        <f t="shared" si="201"/>
        <v>255</v>
      </c>
      <c r="G1228" s="2" t="str">
        <f t="shared" si="202"/>
        <v>248</v>
      </c>
      <c r="H1228" s="2" t="str">
        <f t="shared" si="203"/>
        <v>220</v>
      </c>
      <c r="I1228" s="188"/>
    </row>
    <row r="1229" spans="1:12" x14ac:dyDescent="0.25">
      <c r="A1229" t="s">
        <v>114</v>
      </c>
      <c r="B1229" t="s">
        <v>2567</v>
      </c>
      <c r="C1229" s="2" t="s">
        <v>1191</v>
      </c>
      <c r="D1229" s="3" t="s">
        <v>2255</v>
      </c>
      <c r="E1229" t="s">
        <v>39</v>
      </c>
      <c r="F1229" s="2" t="str">
        <f t="shared" si="201"/>
        <v>255</v>
      </c>
      <c r="G1229" s="2" t="str">
        <f t="shared" si="202"/>
        <v>250</v>
      </c>
      <c r="H1229" s="2" t="str">
        <f t="shared" si="203"/>
        <v>205</v>
      </c>
      <c r="I1229" s="220"/>
    </row>
    <row r="1230" spans="1:12" x14ac:dyDescent="0.25">
      <c r="A1230" t="s">
        <v>1190</v>
      </c>
      <c r="B1230" t="s">
        <v>2567</v>
      </c>
      <c r="C1230" s="2" t="s">
        <v>1191</v>
      </c>
      <c r="D1230" s="3" t="s">
        <v>2255</v>
      </c>
      <c r="E1230" t="s">
        <v>39</v>
      </c>
      <c r="F1230" s="2" t="str">
        <f t="shared" si="201"/>
        <v>255</v>
      </c>
      <c r="G1230" s="2" t="str">
        <f t="shared" si="202"/>
        <v>250</v>
      </c>
      <c r="H1230" s="2" t="str">
        <f t="shared" si="203"/>
        <v>205</v>
      </c>
      <c r="I1230" s="220"/>
    </row>
    <row r="1231" spans="1:12" x14ac:dyDescent="0.25">
      <c r="A1231" t="s">
        <v>1192</v>
      </c>
      <c r="B1231" t="s">
        <v>2567</v>
      </c>
      <c r="C1231" s="2" t="s">
        <v>1191</v>
      </c>
      <c r="D1231" s="3" t="s">
        <v>2255</v>
      </c>
      <c r="E1231" t="s">
        <v>39</v>
      </c>
      <c r="F1231" s="2" t="str">
        <f t="shared" si="201"/>
        <v>255</v>
      </c>
      <c r="G1231" s="2" t="str">
        <f t="shared" si="202"/>
        <v>250</v>
      </c>
      <c r="H1231" s="2" t="str">
        <f t="shared" si="203"/>
        <v>205</v>
      </c>
      <c r="I1231" s="220"/>
    </row>
    <row r="1232" spans="1:12" x14ac:dyDescent="0.25">
      <c r="A1232" t="s">
        <v>5</v>
      </c>
      <c r="B1232" t="s">
        <v>2567</v>
      </c>
      <c r="C1232" s="2" t="s">
        <v>1244</v>
      </c>
      <c r="D1232" s="3" t="s">
        <v>1958</v>
      </c>
      <c r="E1232" t="s">
        <v>39</v>
      </c>
      <c r="F1232" s="2" t="str">
        <f t="shared" si="201"/>
        <v>255</v>
      </c>
      <c r="G1232" s="2" t="str">
        <f t="shared" si="202"/>
        <v>255</v>
      </c>
      <c r="H1232" s="2" t="str">
        <f t="shared" si="203"/>
        <v>0</v>
      </c>
      <c r="I1232" s="14"/>
    </row>
    <row r="1233" spans="1:12" x14ac:dyDescent="0.25">
      <c r="A1233" t="s">
        <v>39</v>
      </c>
      <c r="B1233" t="s">
        <v>2567</v>
      </c>
      <c r="C1233" s="2" t="s">
        <v>1244</v>
      </c>
      <c r="D1233" s="3" t="s">
        <v>1958</v>
      </c>
      <c r="E1233" t="s">
        <v>39</v>
      </c>
      <c r="F1233" s="2" t="str">
        <f t="shared" si="201"/>
        <v>255</v>
      </c>
      <c r="G1233" s="2" t="str">
        <f t="shared" si="202"/>
        <v>255</v>
      </c>
      <c r="H1233" s="2" t="str">
        <f t="shared" si="203"/>
        <v>0</v>
      </c>
      <c r="I1233" s="14"/>
    </row>
    <row r="1234" spans="1:12" x14ac:dyDescent="0.25">
      <c r="A1234" t="s">
        <v>1245</v>
      </c>
      <c r="B1234" t="s">
        <v>2567</v>
      </c>
      <c r="C1234" s="2" t="s">
        <v>1244</v>
      </c>
      <c r="D1234" s="3" t="s">
        <v>1958</v>
      </c>
      <c r="E1234" t="s">
        <v>39</v>
      </c>
      <c r="F1234" s="2" t="str">
        <f t="shared" si="201"/>
        <v>255</v>
      </c>
      <c r="G1234" s="2" t="str">
        <f t="shared" si="202"/>
        <v>255</v>
      </c>
      <c r="H1234" s="2" t="str">
        <f t="shared" si="203"/>
        <v>0</v>
      </c>
      <c r="I1234" s="14"/>
    </row>
    <row r="1235" spans="1:12" x14ac:dyDescent="0.25">
      <c r="A1235" t="s">
        <v>1376</v>
      </c>
      <c r="B1235" t="s">
        <v>2567</v>
      </c>
      <c r="C1235" s="2" t="s">
        <v>2760</v>
      </c>
      <c r="D1235" s="3" t="s">
        <v>2100</v>
      </c>
      <c r="E1235" t="s">
        <v>39</v>
      </c>
      <c r="F1235" s="5">
        <v>255</v>
      </c>
      <c r="G1235" s="5">
        <v>255</v>
      </c>
      <c r="H1235" s="5">
        <v>153</v>
      </c>
      <c r="I1235" s="441"/>
      <c r="L1235" s="7"/>
    </row>
    <row r="1236" spans="1:12" x14ac:dyDescent="0.25">
      <c r="A1236" t="s">
        <v>116</v>
      </c>
      <c r="B1236" t="s">
        <v>2567</v>
      </c>
      <c r="C1236" s="2" t="s">
        <v>1212</v>
      </c>
      <c r="D1236" s="3" t="s">
        <v>2264</v>
      </c>
      <c r="E1236" t="s">
        <v>39</v>
      </c>
      <c r="F1236" s="2" t="str">
        <f>LEFT(D1236,FIND(",",D1236)-1)</f>
        <v>255</v>
      </c>
      <c r="G1236" s="2" t="str">
        <f>MID(D1236,FIND(",",D1236)+1,FIND(",",D1236,FIND(",",D1236)+1)-FIND(",",D1236)-1)</f>
        <v>255</v>
      </c>
      <c r="H1236" s="2" t="str">
        <f>RIGHT(D1236,LEN(D1236)-FIND(",",D1236,FIND(",",D1236)+1))</f>
        <v>224</v>
      </c>
      <c r="I1236" s="284"/>
    </row>
    <row r="1237" spans="1:12" x14ac:dyDescent="0.25">
      <c r="A1237" t="s">
        <v>1211</v>
      </c>
      <c r="B1237" t="s">
        <v>2567</v>
      </c>
      <c r="C1237" s="2" t="s">
        <v>1212</v>
      </c>
      <c r="D1237" s="3" t="s">
        <v>2264</v>
      </c>
      <c r="E1237" t="s">
        <v>39</v>
      </c>
      <c r="F1237" s="2" t="str">
        <f>LEFT(D1237,FIND(",",D1237)-1)</f>
        <v>255</v>
      </c>
      <c r="G1237" s="2" t="str">
        <f>MID(D1237,FIND(",",D1237)+1,FIND(",",D1237,FIND(",",D1237)+1)-FIND(",",D1237)-1)</f>
        <v>255</v>
      </c>
      <c r="H1237" s="2" t="str">
        <f>RIGHT(D1237,LEN(D1237)-FIND(",",D1237,FIND(",",D1237)+1))</f>
        <v>224</v>
      </c>
      <c r="I1237" s="284"/>
    </row>
    <row r="1238" spans="1:12" x14ac:dyDescent="0.25">
      <c r="A1238" t="s">
        <v>1213</v>
      </c>
      <c r="B1238" t="s">
        <v>2567</v>
      </c>
      <c r="C1238" s="2" t="s">
        <v>1212</v>
      </c>
      <c r="D1238" s="3" t="s">
        <v>2264</v>
      </c>
      <c r="E1238" t="s">
        <v>39</v>
      </c>
      <c r="F1238" s="2" t="str">
        <f>LEFT(D1238,FIND(",",D1238)-1)</f>
        <v>255</v>
      </c>
      <c r="G1238" s="2" t="str">
        <f>MID(D1238,FIND(",",D1238)+1,FIND(",",D1238,FIND(",",D1238)+1)-FIND(",",D1238)-1)</f>
        <v>255</v>
      </c>
      <c r="H1238" s="2" t="str">
        <f>RIGHT(D1238,LEN(D1238)-FIND(",",D1238,FIND(",",D1238)+1))</f>
        <v>224</v>
      </c>
      <c r="I1238" s="284"/>
    </row>
    <row r="1239" spans="1:12" x14ac:dyDescent="0.25">
      <c r="A1239" t="s">
        <v>3262</v>
      </c>
      <c r="B1239" t="s">
        <v>3263</v>
      </c>
      <c r="E1239" t="s">
        <v>154</v>
      </c>
      <c r="I1239" s="18"/>
    </row>
    <row r="1240" spans="1:12" x14ac:dyDescent="0.25">
      <c r="A1240" t="s">
        <v>2763</v>
      </c>
      <c r="B1240" s="2" t="s">
        <v>2956</v>
      </c>
      <c r="D1240" s="3" t="s">
        <v>2975</v>
      </c>
      <c r="F1240" s="2">
        <v>0</v>
      </c>
      <c r="G1240" s="2">
        <v>106</v>
      </c>
      <c r="H1240" s="2">
        <v>178</v>
      </c>
      <c r="I1240" s="948"/>
    </row>
    <row r="1241" spans="1:12" x14ac:dyDescent="0.25">
      <c r="A1241" t="s">
        <v>2763</v>
      </c>
      <c r="B1241" s="2" t="s">
        <v>2956</v>
      </c>
      <c r="D1241" s="3" t="s">
        <v>2958</v>
      </c>
      <c r="F1241" s="2">
        <v>0</v>
      </c>
      <c r="G1241" s="2">
        <v>108</v>
      </c>
      <c r="H1241" s="2">
        <v>177</v>
      </c>
      <c r="I1241" s="912"/>
    </row>
    <row r="1242" spans="1:12" x14ac:dyDescent="0.25">
      <c r="A1242" t="s">
        <v>2838</v>
      </c>
      <c r="B1242" s="2" t="s">
        <v>2956</v>
      </c>
      <c r="D1242" s="3" t="s">
        <v>3068</v>
      </c>
      <c r="F1242" s="2">
        <v>100</v>
      </c>
      <c r="G1242" s="2">
        <v>101</v>
      </c>
      <c r="H1242" s="2">
        <v>84</v>
      </c>
      <c r="I1242" s="990"/>
    </row>
    <row r="1243" spans="1:12" x14ac:dyDescent="0.25">
      <c r="A1243" t="s">
        <v>2845</v>
      </c>
      <c r="B1243" s="2" t="s">
        <v>2956</v>
      </c>
      <c r="D1243" s="3" t="s">
        <v>3090</v>
      </c>
      <c r="F1243" s="2">
        <v>100</v>
      </c>
      <c r="G1243" s="2">
        <v>65</v>
      </c>
      <c r="H1243" s="2">
        <v>51</v>
      </c>
      <c r="I1243" s="962"/>
    </row>
    <row r="1244" spans="1:12" x14ac:dyDescent="0.25">
      <c r="A1244" t="s">
        <v>2845</v>
      </c>
      <c r="B1244" s="2" t="s">
        <v>2956</v>
      </c>
      <c r="D1244" s="3" t="s">
        <v>3091</v>
      </c>
      <c r="F1244" s="2">
        <v>101</v>
      </c>
      <c r="G1244" s="2">
        <v>65</v>
      </c>
      <c r="H1244" s="2">
        <v>50</v>
      </c>
      <c r="I1244" s="993"/>
    </row>
    <row r="1245" spans="1:12" x14ac:dyDescent="0.25">
      <c r="A1245" t="s">
        <v>2801</v>
      </c>
      <c r="B1245" s="2" t="s">
        <v>2956</v>
      </c>
      <c r="D1245" s="3" t="s">
        <v>3067</v>
      </c>
      <c r="F1245" s="2">
        <v>102</v>
      </c>
      <c r="G1245" s="2">
        <v>93</v>
      </c>
      <c r="H1245" s="2">
        <v>82</v>
      </c>
      <c r="I1245" s="959"/>
    </row>
    <row r="1246" spans="1:12" x14ac:dyDescent="0.25">
      <c r="A1246" t="s">
        <v>2839</v>
      </c>
      <c r="B1246" s="2" t="s">
        <v>2956</v>
      </c>
      <c r="D1246" s="3" t="s">
        <v>3069</v>
      </c>
      <c r="F1246" s="2">
        <v>103</v>
      </c>
      <c r="G1246" s="2">
        <v>103</v>
      </c>
      <c r="H1246" s="2">
        <v>86</v>
      </c>
      <c r="I1246" s="1023"/>
    </row>
    <row r="1247" spans="1:12" x14ac:dyDescent="0.25">
      <c r="A1247" t="s">
        <v>2885</v>
      </c>
      <c r="B1247" s="2" t="s">
        <v>2956</v>
      </c>
      <c r="D1247" s="3" t="s">
        <v>3133</v>
      </c>
      <c r="F1247" s="2">
        <v>103</v>
      </c>
      <c r="G1247" s="2">
        <v>118</v>
      </c>
      <c r="H1247" s="2">
        <v>125</v>
      </c>
      <c r="I1247" s="935"/>
    </row>
    <row r="1248" spans="1:12" x14ac:dyDescent="0.25">
      <c r="A1248" t="s">
        <v>2801</v>
      </c>
      <c r="B1248" s="2" t="s">
        <v>2956</v>
      </c>
      <c r="D1248" s="3" t="s">
        <v>3066</v>
      </c>
      <c r="F1248" s="2">
        <v>103</v>
      </c>
      <c r="G1248" s="2">
        <v>92</v>
      </c>
      <c r="H1248" s="2">
        <v>81</v>
      </c>
      <c r="I1248" s="926"/>
    </row>
    <row r="1249" spans="1:9" x14ac:dyDescent="0.25">
      <c r="A1249" t="s">
        <v>2801</v>
      </c>
      <c r="B1249" s="2" t="s">
        <v>2956</v>
      </c>
      <c r="D1249" s="3" t="s">
        <v>3009</v>
      </c>
      <c r="F1249" s="2">
        <v>104</v>
      </c>
      <c r="G1249" s="2">
        <v>93</v>
      </c>
      <c r="H1249" s="2">
        <v>82</v>
      </c>
      <c r="I1249" s="1055"/>
    </row>
    <row r="1250" spans="1:9" x14ac:dyDescent="0.25">
      <c r="A1250" t="s">
        <v>2804</v>
      </c>
      <c r="B1250" s="2" t="s">
        <v>2956</v>
      </c>
      <c r="D1250" s="3" t="s">
        <v>3070</v>
      </c>
      <c r="F1250" s="2">
        <v>105</v>
      </c>
      <c r="G1250" s="2">
        <v>56</v>
      </c>
      <c r="H1250" s="2">
        <v>50</v>
      </c>
      <c r="I1250" s="1062"/>
    </row>
    <row r="1251" spans="1:9" x14ac:dyDescent="0.25">
      <c r="A1251" t="s">
        <v>2804</v>
      </c>
      <c r="B1251" s="2" t="s">
        <v>2956</v>
      </c>
      <c r="D1251" s="3" t="s">
        <v>3012</v>
      </c>
      <c r="F1251" s="2">
        <v>105</v>
      </c>
      <c r="G1251" s="2">
        <v>57</v>
      </c>
      <c r="H1251" s="2">
        <v>50</v>
      </c>
      <c r="I1251" s="887"/>
    </row>
    <row r="1252" spans="1:9" x14ac:dyDescent="0.25">
      <c r="A1252" t="s">
        <v>2808</v>
      </c>
      <c r="B1252" s="2" t="s">
        <v>2956</v>
      </c>
      <c r="D1252" s="3" t="s">
        <v>3075</v>
      </c>
      <c r="F1252" s="2">
        <v>106</v>
      </c>
      <c r="G1252" s="2">
        <v>109</v>
      </c>
      <c r="H1252" s="2">
        <v>112</v>
      </c>
      <c r="I1252" s="991"/>
    </row>
    <row r="1253" spans="1:9" x14ac:dyDescent="0.25">
      <c r="A1253" t="s">
        <v>2804</v>
      </c>
      <c r="B1253" s="2" t="s">
        <v>2956</v>
      </c>
      <c r="D1253" s="3" t="s">
        <v>3071</v>
      </c>
      <c r="F1253" s="2">
        <v>106</v>
      </c>
      <c r="G1253" s="2">
        <v>56</v>
      </c>
      <c r="H1253" s="2">
        <v>49</v>
      </c>
      <c r="I1253" s="1043"/>
    </row>
    <row r="1254" spans="1:9" x14ac:dyDescent="0.25">
      <c r="A1254" t="s">
        <v>2846</v>
      </c>
      <c r="B1254" s="2" t="s">
        <v>2956</v>
      </c>
      <c r="D1254" s="3" t="s">
        <v>3093</v>
      </c>
      <c r="F1254" s="2">
        <v>108</v>
      </c>
      <c r="G1254" s="2">
        <v>105</v>
      </c>
      <c r="H1254" s="2">
        <v>101</v>
      </c>
      <c r="I1254" s="1065"/>
    </row>
    <row r="1255" spans="1:9" x14ac:dyDescent="0.25">
      <c r="A1255" t="s">
        <v>2878</v>
      </c>
      <c r="B1255" s="2" t="s">
        <v>2956</v>
      </c>
      <c r="D1255" s="3" t="s">
        <v>3128</v>
      </c>
      <c r="F1255" s="2">
        <v>108</v>
      </c>
      <c r="G1255" s="2">
        <v>111</v>
      </c>
      <c r="H1255" s="2">
        <v>114</v>
      </c>
      <c r="I1255" s="967"/>
    </row>
    <row r="1256" spans="1:9" x14ac:dyDescent="0.25">
      <c r="A1256" t="s">
        <v>2846</v>
      </c>
      <c r="B1256" s="2" t="s">
        <v>2956</v>
      </c>
      <c r="D1256" s="3" t="s">
        <v>3092</v>
      </c>
      <c r="F1256" s="2">
        <v>109</v>
      </c>
      <c r="G1256" s="2">
        <v>107</v>
      </c>
      <c r="H1256" s="2">
        <v>103</v>
      </c>
      <c r="I1256" s="1026"/>
    </row>
    <row r="1257" spans="1:9" x14ac:dyDescent="0.25">
      <c r="A1257" t="s">
        <v>2944</v>
      </c>
      <c r="B1257" s="2" t="s">
        <v>2956</v>
      </c>
      <c r="D1257" s="3" t="s">
        <v>3190</v>
      </c>
      <c r="F1257" s="2">
        <v>110</v>
      </c>
      <c r="G1257" s="2">
        <v>113</v>
      </c>
      <c r="H1257" s="2">
        <v>115</v>
      </c>
      <c r="I1257" s="1078"/>
    </row>
    <row r="1258" spans="1:9" x14ac:dyDescent="0.25">
      <c r="A1258" t="s">
        <v>2808</v>
      </c>
      <c r="B1258" s="2" t="s">
        <v>2956</v>
      </c>
      <c r="D1258" s="3" t="s">
        <v>3017</v>
      </c>
      <c r="F1258" s="2">
        <v>110</v>
      </c>
      <c r="G1258" s="2">
        <v>114</v>
      </c>
      <c r="H1258" s="2">
        <v>116</v>
      </c>
      <c r="I1258" s="1056"/>
    </row>
    <row r="1259" spans="1:9" x14ac:dyDescent="0.25">
      <c r="A1259" t="s">
        <v>2836</v>
      </c>
      <c r="B1259" s="2" t="s">
        <v>2956</v>
      </c>
      <c r="D1259" s="3" t="s">
        <v>3061</v>
      </c>
      <c r="F1259" s="2">
        <v>117</v>
      </c>
      <c r="G1259" s="2">
        <v>111</v>
      </c>
      <c r="H1259" s="2">
        <v>100</v>
      </c>
      <c r="I1259" s="1022"/>
    </row>
    <row r="1260" spans="1:9" x14ac:dyDescent="0.25">
      <c r="A1260" t="s">
        <v>2893</v>
      </c>
      <c r="B1260" s="2" t="s">
        <v>2956</v>
      </c>
      <c r="D1260" s="3" t="s">
        <v>3141</v>
      </c>
      <c r="F1260" s="2">
        <v>118</v>
      </c>
      <c r="G1260" s="2">
        <v>110</v>
      </c>
      <c r="H1260" s="2">
        <v>99</v>
      </c>
      <c r="I1260" s="936"/>
    </row>
    <row r="1261" spans="1:9" x14ac:dyDescent="0.25">
      <c r="A1261" t="s">
        <v>2836</v>
      </c>
      <c r="B1261" s="2" t="s">
        <v>2956</v>
      </c>
      <c r="D1261" s="3" t="s">
        <v>3062</v>
      </c>
      <c r="F1261" s="2">
        <v>118</v>
      </c>
      <c r="G1261" s="2">
        <v>112</v>
      </c>
      <c r="H1261" s="2">
        <v>101</v>
      </c>
      <c r="I1261" s="1061"/>
    </row>
    <row r="1262" spans="1:9" x14ac:dyDescent="0.25">
      <c r="A1262" t="s">
        <v>2842</v>
      </c>
      <c r="B1262" s="2" t="s">
        <v>2956</v>
      </c>
      <c r="D1262" s="3" t="s">
        <v>3078</v>
      </c>
      <c r="F1262" s="2">
        <v>119</v>
      </c>
      <c r="G1262" s="2">
        <v>126</v>
      </c>
      <c r="H1262" s="2">
        <v>106</v>
      </c>
      <c r="I1262" s="1085"/>
    </row>
    <row r="1263" spans="1:9" x14ac:dyDescent="0.25">
      <c r="A1263" t="s">
        <v>2842</v>
      </c>
      <c r="B1263" s="2" t="s">
        <v>2956</v>
      </c>
      <c r="D1263" s="3" t="s">
        <v>3077</v>
      </c>
      <c r="F1263" s="2">
        <v>120</v>
      </c>
      <c r="G1263" s="2">
        <v>129</v>
      </c>
      <c r="H1263" s="2">
        <v>106</v>
      </c>
      <c r="I1263" s="1063"/>
    </row>
    <row r="1264" spans="1:9" x14ac:dyDescent="0.25">
      <c r="A1264" t="s">
        <v>2918</v>
      </c>
      <c r="B1264" s="2" t="s">
        <v>2956</v>
      </c>
      <c r="D1264" s="3" t="s">
        <v>3167</v>
      </c>
      <c r="F1264" s="2">
        <v>121</v>
      </c>
      <c r="G1264" s="2">
        <v>125</v>
      </c>
      <c r="H1264" s="2">
        <v>125</v>
      </c>
      <c r="I1264" s="1002"/>
    </row>
    <row r="1265" spans="1:9" x14ac:dyDescent="0.25">
      <c r="A1265" t="s">
        <v>2896</v>
      </c>
      <c r="B1265" s="2" t="s">
        <v>2956</v>
      </c>
      <c r="D1265" s="3" t="s">
        <v>3144</v>
      </c>
      <c r="F1265" s="2">
        <v>123</v>
      </c>
      <c r="G1265" s="2">
        <v>125</v>
      </c>
      <c r="H1265" s="2">
        <v>126</v>
      </c>
      <c r="I1265" s="1033"/>
    </row>
    <row r="1266" spans="1:9" x14ac:dyDescent="0.25">
      <c r="A1266" t="s">
        <v>2925</v>
      </c>
      <c r="B1266" s="2" t="s">
        <v>2956</v>
      </c>
      <c r="D1266" s="3" t="s">
        <v>3174</v>
      </c>
      <c r="F1266" s="2">
        <v>124</v>
      </c>
      <c r="G1266" s="2">
        <v>120</v>
      </c>
      <c r="H1266" s="2">
        <v>115</v>
      </c>
      <c r="I1266" s="973"/>
    </row>
    <row r="1267" spans="1:9" x14ac:dyDescent="0.25">
      <c r="A1267" t="s">
        <v>2934</v>
      </c>
      <c r="B1267" s="2" t="s">
        <v>2956</v>
      </c>
      <c r="D1267" s="3" t="s">
        <v>3182</v>
      </c>
      <c r="F1267" s="2">
        <v>124</v>
      </c>
      <c r="G1267" s="2">
        <v>128</v>
      </c>
      <c r="H1267" s="2">
        <v>131</v>
      </c>
      <c r="I1267" s="1004"/>
    </row>
    <row r="1268" spans="1:9" x14ac:dyDescent="0.25">
      <c r="A1268" t="s">
        <v>2858</v>
      </c>
      <c r="B1268" s="2" t="s">
        <v>2956</v>
      </c>
      <c r="D1268" s="3" t="s">
        <v>3109</v>
      </c>
      <c r="F1268" s="2">
        <v>124</v>
      </c>
      <c r="G1268" s="2">
        <v>129</v>
      </c>
      <c r="H1268" s="2">
        <v>129</v>
      </c>
      <c r="I1268" s="1008"/>
    </row>
    <row r="1269" spans="1:9" x14ac:dyDescent="0.25">
      <c r="A1269" t="s">
        <v>2955</v>
      </c>
      <c r="B1269" s="2" t="s">
        <v>2956</v>
      </c>
      <c r="D1269" s="3" t="s">
        <v>3200</v>
      </c>
      <c r="F1269" s="2">
        <v>124</v>
      </c>
      <c r="G1269" s="2">
        <v>137</v>
      </c>
      <c r="H1269" s="2">
        <v>131</v>
      </c>
      <c r="I1269" s="910"/>
    </row>
    <row r="1270" spans="1:9" x14ac:dyDescent="0.25">
      <c r="A1270" t="s">
        <v>2776</v>
      </c>
      <c r="B1270" s="2" t="s">
        <v>2956</v>
      </c>
      <c r="D1270" s="3" t="s">
        <v>2972</v>
      </c>
      <c r="F1270" s="2">
        <v>125</v>
      </c>
      <c r="G1270" s="2">
        <v>138</v>
      </c>
      <c r="H1270" s="2">
        <v>133</v>
      </c>
      <c r="I1270" s="848"/>
    </row>
    <row r="1271" spans="1:9" x14ac:dyDescent="0.25">
      <c r="A1271" t="s">
        <v>2824</v>
      </c>
      <c r="B1271" s="2" t="s">
        <v>2956</v>
      </c>
      <c r="D1271" s="3" t="s">
        <v>3095</v>
      </c>
      <c r="F1271" s="2">
        <v>126</v>
      </c>
      <c r="G1271" s="2">
        <v>132</v>
      </c>
      <c r="H1271" s="2">
        <v>129</v>
      </c>
      <c r="I1271" s="897"/>
    </row>
    <row r="1272" spans="1:9" x14ac:dyDescent="0.25">
      <c r="A1272" t="s">
        <v>2824</v>
      </c>
      <c r="B1272" s="2" t="s">
        <v>2956</v>
      </c>
      <c r="D1272" s="3" t="s">
        <v>3034</v>
      </c>
      <c r="F1272" s="2">
        <v>127</v>
      </c>
      <c r="G1272" s="2">
        <v>132</v>
      </c>
      <c r="H1272" s="2">
        <v>129</v>
      </c>
      <c r="I1272" s="1082"/>
    </row>
    <row r="1273" spans="1:9" x14ac:dyDescent="0.25">
      <c r="A1273" t="s">
        <v>2824</v>
      </c>
      <c r="B1273" s="2" t="s">
        <v>2956</v>
      </c>
      <c r="D1273" s="3" t="s">
        <v>3096</v>
      </c>
      <c r="F1273" s="2">
        <v>127</v>
      </c>
      <c r="G1273" s="2">
        <v>132</v>
      </c>
      <c r="H1273" s="2">
        <v>130</v>
      </c>
      <c r="I1273" s="930"/>
    </row>
    <row r="1274" spans="1:9" x14ac:dyDescent="0.25">
      <c r="A1274" t="s">
        <v>2770</v>
      </c>
      <c r="B1274" s="2" t="s">
        <v>2956</v>
      </c>
      <c r="D1274" s="3" t="s">
        <v>2976</v>
      </c>
      <c r="F1274" s="2">
        <v>13</v>
      </c>
      <c r="G1274" s="2">
        <v>105</v>
      </c>
      <c r="H1274" s="2">
        <v>56</v>
      </c>
      <c r="I1274" s="981"/>
    </row>
    <row r="1275" spans="1:9" x14ac:dyDescent="0.25">
      <c r="A1275" t="s">
        <v>2862</v>
      </c>
      <c r="B1275" s="2" t="s">
        <v>2956</v>
      </c>
      <c r="D1275" s="3" t="s">
        <v>3113</v>
      </c>
      <c r="F1275" s="2">
        <v>13</v>
      </c>
      <c r="G1275" s="2">
        <v>94</v>
      </c>
      <c r="H1275" s="2">
        <v>134</v>
      </c>
      <c r="I1275" s="965"/>
    </row>
    <row r="1276" spans="1:9" x14ac:dyDescent="0.25">
      <c r="A1276" t="s">
        <v>2932</v>
      </c>
      <c r="B1276" s="2" t="s">
        <v>2956</v>
      </c>
      <c r="D1276" s="3" t="s">
        <v>3180</v>
      </c>
      <c r="F1276" s="2">
        <v>133</v>
      </c>
      <c r="G1276" s="2">
        <v>137</v>
      </c>
      <c r="H1276" s="2">
        <v>138</v>
      </c>
      <c r="I1276" s="941"/>
    </row>
    <row r="1277" spans="1:9" x14ac:dyDescent="0.25">
      <c r="A1277" t="s">
        <v>2907</v>
      </c>
      <c r="B1277" s="2" t="s">
        <v>2956</v>
      </c>
      <c r="D1277" s="3" t="s">
        <v>3156</v>
      </c>
      <c r="F1277" s="2">
        <v>136</v>
      </c>
      <c r="G1277" s="2">
        <v>128</v>
      </c>
      <c r="H1277" s="2">
        <v>117</v>
      </c>
      <c r="I1277" s="904"/>
    </row>
    <row r="1278" spans="1:9" x14ac:dyDescent="0.25">
      <c r="A1278" t="s">
        <v>2889</v>
      </c>
      <c r="B1278" s="2" t="s">
        <v>2956</v>
      </c>
      <c r="D1278" s="3" t="s">
        <v>3137</v>
      </c>
      <c r="F1278" s="2">
        <v>138</v>
      </c>
      <c r="G1278" s="2">
        <v>121</v>
      </c>
      <c r="H1278" s="2">
        <v>94</v>
      </c>
      <c r="I1278" s="1071"/>
    </row>
    <row r="1279" spans="1:9" x14ac:dyDescent="0.25">
      <c r="A1279" t="s">
        <v>2863</v>
      </c>
      <c r="B1279" s="2" t="s">
        <v>2956</v>
      </c>
      <c r="D1279" s="3" t="s">
        <v>3114</v>
      </c>
      <c r="F1279" s="2">
        <v>139</v>
      </c>
      <c r="G1279" s="2">
        <v>57</v>
      </c>
      <c r="H1279" s="2">
        <v>46</v>
      </c>
      <c r="I1279" s="996"/>
    </row>
    <row r="1280" spans="1:9" x14ac:dyDescent="0.25">
      <c r="A1280" t="s">
        <v>2904</v>
      </c>
      <c r="B1280" s="2" t="s">
        <v>2956</v>
      </c>
      <c r="D1280" s="3" t="s">
        <v>3153</v>
      </c>
      <c r="F1280" s="2">
        <v>140</v>
      </c>
      <c r="G1280" s="2">
        <v>132</v>
      </c>
      <c r="H1280" s="2">
        <v>120</v>
      </c>
      <c r="I1280" s="1073"/>
    </row>
    <row r="1281" spans="1:9" x14ac:dyDescent="0.25">
      <c r="A1281" t="s">
        <v>2830</v>
      </c>
      <c r="B1281" s="2" t="s">
        <v>2956</v>
      </c>
      <c r="D1281" s="3" t="s">
        <v>3052</v>
      </c>
      <c r="F1281" s="2">
        <v>144</v>
      </c>
      <c r="G1281" s="2">
        <v>136</v>
      </c>
      <c r="H1281" s="2">
        <v>111</v>
      </c>
      <c r="I1281" s="924"/>
    </row>
    <row r="1282" spans="1:9" x14ac:dyDescent="0.25">
      <c r="A1282" t="s">
        <v>2817</v>
      </c>
      <c r="B1282" s="2" t="s">
        <v>2956</v>
      </c>
      <c r="D1282" s="3" t="s">
        <v>3026</v>
      </c>
      <c r="F1282" s="2">
        <v>144</v>
      </c>
      <c r="G1282" s="2">
        <v>142</v>
      </c>
      <c r="H1282" s="2">
        <v>138</v>
      </c>
      <c r="I1282" s="1040"/>
    </row>
    <row r="1283" spans="1:9" x14ac:dyDescent="0.25">
      <c r="A1283" t="s">
        <v>2953</v>
      </c>
      <c r="B1283" s="2" t="s">
        <v>2956</v>
      </c>
      <c r="D1283" s="3" t="s">
        <v>3198</v>
      </c>
      <c r="F1283" s="2">
        <v>144</v>
      </c>
      <c r="G1283" s="2">
        <v>145</v>
      </c>
      <c r="H1283" s="2">
        <v>144</v>
      </c>
      <c r="I1283" s="1090"/>
    </row>
    <row r="1284" spans="1:9" x14ac:dyDescent="0.25">
      <c r="A1284" t="s">
        <v>2923</v>
      </c>
      <c r="B1284" s="2" t="s">
        <v>2956</v>
      </c>
      <c r="D1284" s="3" t="s">
        <v>3172</v>
      </c>
      <c r="F1284" s="2">
        <v>144</v>
      </c>
      <c r="G1284" s="2">
        <v>146</v>
      </c>
      <c r="H1284" s="2">
        <v>147</v>
      </c>
      <c r="I1284" s="906"/>
    </row>
    <row r="1285" spans="1:9" x14ac:dyDescent="0.25">
      <c r="A1285" t="s">
        <v>2830</v>
      </c>
      <c r="B1285" s="2" t="s">
        <v>2956</v>
      </c>
      <c r="D1285" s="3" t="s">
        <v>3053</v>
      </c>
      <c r="F1285" s="2">
        <v>145</v>
      </c>
      <c r="G1285" s="2">
        <v>136</v>
      </c>
      <c r="H1285" s="2">
        <v>111</v>
      </c>
      <c r="I1285" s="957"/>
    </row>
    <row r="1286" spans="1:9" x14ac:dyDescent="0.25">
      <c r="A1286" t="s">
        <v>2894</v>
      </c>
      <c r="B1286" s="2" t="s">
        <v>2956</v>
      </c>
      <c r="D1286" s="3" t="s">
        <v>3142</v>
      </c>
      <c r="F1286" s="2">
        <v>145</v>
      </c>
      <c r="G1286" s="2">
        <v>136</v>
      </c>
      <c r="H1286" s="2">
        <v>125</v>
      </c>
      <c r="I1286" s="969"/>
    </row>
    <row r="1287" spans="1:9" x14ac:dyDescent="0.25">
      <c r="A1287" t="s">
        <v>2817</v>
      </c>
      <c r="B1287" s="2" t="s">
        <v>2956</v>
      </c>
      <c r="D1287" s="3" t="s">
        <v>3087</v>
      </c>
      <c r="F1287" s="2">
        <v>145</v>
      </c>
      <c r="G1287" s="2">
        <v>143</v>
      </c>
      <c r="H1287" s="2">
        <v>139</v>
      </c>
      <c r="I1287" s="863"/>
    </row>
    <row r="1288" spans="1:9" x14ac:dyDescent="0.25">
      <c r="A1288" t="s">
        <v>2901</v>
      </c>
      <c r="B1288" s="2" t="s">
        <v>2956</v>
      </c>
      <c r="D1288" s="3" t="s">
        <v>3149</v>
      </c>
      <c r="F1288" s="2">
        <v>145</v>
      </c>
      <c r="G1288" s="2">
        <v>149</v>
      </c>
      <c r="H1288" s="2">
        <v>151</v>
      </c>
      <c r="I1288" s="937"/>
    </row>
    <row r="1289" spans="1:9" x14ac:dyDescent="0.25">
      <c r="A1289" t="s">
        <v>2851</v>
      </c>
      <c r="B1289" s="2" t="s">
        <v>2956</v>
      </c>
      <c r="D1289" s="3" t="s">
        <v>3102</v>
      </c>
      <c r="F1289" s="2">
        <v>146</v>
      </c>
      <c r="G1289" s="2">
        <v>134</v>
      </c>
      <c r="H1289" s="2">
        <v>124</v>
      </c>
      <c r="I1289" s="865"/>
    </row>
    <row r="1290" spans="1:9" x14ac:dyDescent="0.25">
      <c r="A1290" t="s">
        <v>2765</v>
      </c>
      <c r="B1290" s="2" t="s">
        <v>2956</v>
      </c>
      <c r="D1290" s="3" t="s">
        <v>2960</v>
      </c>
      <c r="F1290" s="2">
        <v>147</v>
      </c>
      <c r="G1290" s="2">
        <v>101</v>
      </c>
      <c r="H1290" s="2">
        <v>72</v>
      </c>
      <c r="I1290" s="979"/>
    </row>
    <row r="1291" spans="1:9" x14ac:dyDescent="0.25">
      <c r="A1291" t="s">
        <v>2922</v>
      </c>
      <c r="B1291" s="2" t="s">
        <v>2956</v>
      </c>
      <c r="D1291" s="3" t="s">
        <v>3171</v>
      </c>
      <c r="F1291" s="2">
        <v>150</v>
      </c>
      <c r="G1291" s="2">
        <v>154</v>
      </c>
      <c r="H1291" s="2">
        <v>153</v>
      </c>
      <c r="I1291" s="874"/>
    </row>
    <row r="1292" spans="1:9" x14ac:dyDescent="0.25">
      <c r="A1292" t="s">
        <v>2859</v>
      </c>
      <c r="B1292" s="2" t="s">
        <v>2956</v>
      </c>
      <c r="D1292" s="3" t="s">
        <v>3110</v>
      </c>
      <c r="F1292" s="2">
        <v>151</v>
      </c>
      <c r="G1292" s="2">
        <v>154</v>
      </c>
      <c r="H1292" s="2">
        <v>156</v>
      </c>
      <c r="I1292" s="866"/>
    </row>
    <row r="1293" spans="1:9" x14ac:dyDescent="0.25">
      <c r="A1293" t="s">
        <v>2767</v>
      </c>
      <c r="B1293" s="2" t="s">
        <v>2956</v>
      </c>
      <c r="D1293" s="3" t="s">
        <v>2962</v>
      </c>
      <c r="F1293" s="2">
        <v>152</v>
      </c>
      <c r="G1293" s="2">
        <v>41</v>
      </c>
      <c r="H1293" s="2">
        <v>44</v>
      </c>
      <c r="I1293" s="1050"/>
    </row>
    <row r="1294" spans="1:9" x14ac:dyDescent="0.25">
      <c r="A1294" t="s">
        <v>2908</v>
      </c>
      <c r="B1294" s="2" t="s">
        <v>2956</v>
      </c>
      <c r="D1294" s="3" t="s">
        <v>3157</v>
      </c>
      <c r="F1294" s="2">
        <v>153</v>
      </c>
      <c r="G1294" s="2">
        <v>128</v>
      </c>
      <c r="H1294" s="2">
        <v>83</v>
      </c>
      <c r="I1294" s="938"/>
    </row>
    <row r="1295" spans="1:9" x14ac:dyDescent="0.25">
      <c r="A1295" t="s">
        <v>2948</v>
      </c>
      <c r="B1295" s="2" t="s">
        <v>2956</v>
      </c>
      <c r="D1295" s="3" t="s">
        <v>3193</v>
      </c>
      <c r="F1295" s="2">
        <v>156</v>
      </c>
      <c r="G1295" s="2">
        <v>158</v>
      </c>
      <c r="H1295" s="2">
        <v>154</v>
      </c>
      <c r="I1295" s="943"/>
    </row>
    <row r="1296" spans="1:9" x14ac:dyDescent="0.25">
      <c r="A1296" t="s">
        <v>2860</v>
      </c>
      <c r="B1296" s="2" t="s">
        <v>2956</v>
      </c>
      <c r="D1296" s="3" t="s">
        <v>3111</v>
      </c>
      <c r="F1296" s="2">
        <v>156</v>
      </c>
      <c r="G1296" s="2">
        <v>159</v>
      </c>
      <c r="H1296" s="2">
        <v>159</v>
      </c>
      <c r="I1296" s="899"/>
    </row>
    <row r="1297" spans="1:9" x14ac:dyDescent="0.25">
      <c r="A1297" t="s">
        <v>2917</v>
      </c>
      <c r="B1297" s="2" t="s">
        <v>2956</v>
      </c>
      <c r="D1297" s="3" t="s">
        <v>3166</v>
      </c>
      <c r="F1297" s="2">
        <v>156</v>
      </c>
      <c r="G1297" s="2">
        <v>160</v>
      </c>
      <c r="H1297" s="2">
        <v>161</v>
      </c>
      <c r="I1297" s="972"/>
    </row>
    <row r="1298" spans="1:9" x14ac:dyDescent="0.25">
      <c r="A1298" t="s">
        <v>2873</v>
      </c>
      <c r="B1298" s="2" t="s">
        <v>2956</v>
      </c>
      <c r="D1298" s="3" t="s">
        <v>3124</v>
      </c>
      <c r="F1298" s="2">
        <v>157</v>
      </c>
      <c r="G1298" s="2">
        <v>151</v>
      </c>
      <c r="H1298" s="2">
        <v>142</v>
      </c>
      <c r="I1298" s="1069"/>
    </row>
    <row r="1299" spans="1:9" x14ac:dyDescent="0.25">
      <c r="A1299" t="s">
        <v>2814</v>
      </c>
      <c r="B1299" s="2" t="s">
        <v>2956</v>
      </c>
      <c r="D1299" s="3" t="s">
        <v>3023</v>
      </c>
      <c r="F1299" s="2">
        <v>159</v>
      </c>
      <c r="G1299" s="2">
        <v>142</v>
      </c>
      <c r="H1299" s="2">
        <v>125</v>
      </c>
      <c r="I1299" s="986"/>
    </row>
    <row r="1300" spans="1:9" x14ac:dyDescent="0.25">
      <c r="A1300" t="s">
        <v>2921</v>
      </c>
      <c r="B1300" s="2" t="s">
        <v>2956</v>
      </c>
      <c r="D1300" s="3" t="s">
        <v>3170</v>
      </c>
      <c r="F1300" s="2">
        <v>159</v>
      </c>
      <c r="G1300" s="2">
        <v>162</v>
      </c>
      <c r="H1300" s="2">
        <v>162</v>
      </c>
      <c r="I1300" s="1089"/>
    </row>
    <row r="1301" spans="1:9" x14ac:dyDescent="0.25">
      <c r="A1301" t="s">
        <v>2770</v>
      </c>
      <c r="B1301" s="2" t="s">
        <v>2956</v>
      </c>
      <c r="D1301" s="3" t="s">
        <v>2965</v>
      </c>
      <c r="F1301" s="2">
        <v>16</v>
      </c>
      <c r="G1301" s="2">
        <v>109</v>
      </c>
      <c r="H1301" s="2">
        <v>58</v>
      </c>
      <c r="I1301" s="881"/>
    </row>
    <row r="1302" spans="1:9" x14ac:dyDescent="0.25">
      <c r="A1302" t="s">
        <v>2779</v>
      </c>
      <c r="B1302" s="2" t="s">
        <v>2956</v>
      </c>
      <c r="D1302" s="3" t="s">
        <v>2982</v>
      </c>
      <c r="F1302" s="2">
        <v>160</v>
      </c>
      <c r="G1302" s="2">
        <v>165</v>
      </c>
      <c r="H1302" s="2">
        <v>167</v>
      </c>
      <c r="I1302" s="915"/>
    </row>
    <row r="1303" spans="1:9" x14ac:dyDescent="0.25">
      <c r="A1303" t="s">
        <v>2919</v>
      </c>
      <c r="B1303" s="2" t="s">
        <v>2956</v>
      </c>
      <c r="D1303" s="3" t="s">
        <v>3168</v>
      </c>
      <c r="F1303" s="2">
        <v>161</v>
      </c>
      <c r="G1303" s="2">
        <v>158</v>
      </c>
      <c r="H1303" s="2">
        <v>152</v>
      </c>
      <c r="I1303" s="1036"/>
    </row>
    <row r="1304" spans="1:9" x14ac:dyDescent="0.25">
      <c r="A1304" t="s">
        <v>2898</v>
      </c>
      <c r="B1304" s="2" t="s">
        <v>2956</v>
      </c>
      <c r="D1304" s="3" t="s">
        <v>3146</v>
      </c>
      <c r="F1304" s="2">
        <v>161</v>
      </c>
      <c r="G1304" s="2">
        <v>158</v>
      </c>
      <c r="H1304" s="2">
        <v>153</v>
      </c>
      <c r="I1304" s="1088"/>
    </row>
    <row r="1305" spans="1:9" x14ac:dyDescent="0.25">
      <c r="A1305" t="s">
        <v>2914</v>
      </c>
      <c r="B1305" s="2" t="s">
        <v>2956</v>
      </c>
      <c r="D1305" s="3" t="s">
        <v>3163</v>
      </c>
      <c r="F1305" s="2">
        <v>161</v>
      </c>
      <c r="G1305" s="2">
        <v>162</v>
      </c>
      <c r="H1305" s="2">
        <v>158</v>
      </c>
      <c r="I1305" s="873"/>
    </row>
    <row r="1306" spans="1:9" x14ac:dyDescent="0.25">
      <c r="A1306" t="s">
        <v>2927</v>
      </c>
      <c r="B1306" s="2" t="s">
        <v>2956</v>
      </c>
      <c r="D1306" s="3" t="s">
        <v>3163</v>
      </c>
      <c r="F1306" s="2">
        <v>161</v>
      </c>
      <c r="G1306" s="2">
        <v>162</v>
      </c>
      <c r="H1306" s="2">
        <v>158</v>
      </c>
      <c r="I1306" s="873"/>
    </row>
    <row r="1307" spans="1:9" x14ac:dyDescent="0.25">
      <c r="A1307" t="s">
        <v>2764</v>
      </c>
      <c r="B1307" s="2" t="s">
        <v>2956</v>
      </c>
      <c r="D1307" s="3" t="s">
        <v>2959</v>
      </c>
      <c r="F1307" s="2">
        <v>161</v>
      </c>
      <c r="G1307" s="2">
        <v>163</v>
      </c>
      <c r="H1307" s="2">
        <v>164</v>
      </c>
      <c r="I1307" s="946"/>
    </row>
    <row r="1308" spans="1:9" x14ac:dyDescent="0.25">
      <c r="A1308" t="s">
        <v>2900</v>
      </c>
      <c r="B1308" s="2" t="s">
        <v>2956</v>
      </c>
      <c r="D1308" s="3" t="s">
        <v>3148</v>
      </c>
      <c r="F1308" s="2">
        <v>163</v>
      </c>
      <c r="G1308" s="2">
        <v>167</v>
      </c>
      <c r="H1308" s="2">
        <v>169</v>
      </c>
      <c r="I1308" s="903"/>
    </row>
    <row r="1309" spans="1:9" x14ac:dyDescent="0.25">
      <c r="A1309" t="s">
        <v>2928</v>
      </c>
      <c r="B1309" s="2" t="s">
        <v>2956</v>
      </c>
      <c r="D1309" s="3" t="s">
        <v>3176</v>
      </c>
      <c r="F1309" s="2">
        <v>164</v>
      </c>
      <c r="G1309" s="2">
        <v>169</v>
      </c>
      <c r="H1309" s="2">
        <v>171</v>
      </c>
      <c r="I1309" s="1076"/>
    </row>
    <row r="1310" spans="1:9" x14ac:dyDescent="0.25">
      <c r="A1310" t="s">
        <v>2857</v>
      </c>
      <c r="B1310" s="2" t="s">
        <v>2956</v>
      </c>
      <c r="D1310" s="3" t="s">
        <v>3108</v>
      </c>
      <c r="F1310" s="2">
        <v>165</v>
      </c>
      <c r="G1310" s="2">
        <v>158</v>
      </c>
      <c r="H1310" s="2">
        <v>146</v>
      </c>
      <c r="I1310" s="1067"/>
    </row>
    <row r="1311" spans="1:9" x14ac:dyDescent="0.25">
      <c r="A1311" t="s">
        <v>2936</v>
      </c>
      <c r="B1311" s="2" t="s">
        <v>2956</v>
      </c>
      <c r="D1311" s="3" t="s">
        <v>3184</v>
      </c>
      <c r="F1311" s="2">
        <v>165</v>
      </c>
      <c r="G1311" s="2">
        <v>169</v>
      </c>
      <c r="H1311" s="2">
        <v>171</v>
      </c>
      <c r="I1311" s="1077"/>
    </row>
    <row r="1312" spans="1:9" x14ac:dyDescent="0.25">
      <c r="A1312" t="s">
        <v>2911</v>
      </c>
      <c r="B1312" s="2" t="s">
        <v>2956</v>
      </c>
      <c r="D1312" s="3" t="s">
        <v>3160</v>
      </c>
      <c r="F1312" s="2">
        <v>165</v>
      </c>
      <c r="G1312" s="2">
        <v>171</v>
      </c>
      <c r="H1312" s="2">
        <v>174</v>
      </c>
      <c r="I1312" s="1035"/>
    </row>
    <row r="1313" spans="1:9" x14ac:dyDescent="0.25">
      <c r="A1313" t="s">
        <v>2892</v>
      </c>
      <c r="B1313" s="2" t="s">
        <v>2956</v>
      </c>
      <c r="D1313" s="3" t="s">
        <v>3140</v>
      </c>
      <c r="F1313" s="2">
        <v>166</v>
      </c>
      <c r="G1313" s="2">
        <v>169</v>
      </c>
      <c r="H1313" s="2">
        <v>167</v>
      </c>
      <c r="I1313" s="902"/>
    </row>
    <row r="1314" spans="1:9" x14ac:dyDescent="0.25">
      <c r="A1314" t="s">
        <v>2906</v>
      </c>
      <c r="B1314" s="2" t="s">
        <v>2956</v>
      </c>
      <c r="D1314" s="3" t="s">
        <v>3155</v>
      </c>
      <c r="F1314" s="2">
        <v>166</v>
      </c>
      <c r="G1314" s="2">
        <v>171</v>
      </c>
      <c r="H1314" s="2">
        <v>174</v>
      </c>
      <c r="I1314" s="872"/>
    </row>
    <row r="1315" spans="1:9" x14ac:dyDescent="0.25">
      <c r="A1315" t="s">
        <v>2853</v>
      </c>
      <c r="B1315" s="2" t="s">
        <v>2956</v>
      </c>
      <c r="D1315" s="3" t="s">
        <v>3104</v>
      </c>
      <c r="F1315" s="2">
        <v>168</v>
      </c>
      <c r="G1315" s="2">
        <v>171</v>
      </c>
      <c r="H1315" s="2">
        <v>168</v>
      </c>
      <c r="I1315" s="931"/>
    </row>
    <row r="1316" spans="1:9" x14ac:dyDescent="0.25">
      <c r="A1316" t="s">
        <v>2915</v>
      </c>
      <c r="B1316" s="2" t="s">
        <v>2956</v>
      </c>
      <c r="D1316" s="3" t="s">
        <v>3164</v>
      </c>
      <c r="F1316" s="2">
        <v>169</v>
      </c>
      <c r="G1316" s="2">
        <v>160</v>
      </c>
      <c r="H1316" s="2">
        <v>146</v>
      </c>
      <c r="I1316" s="905"/>
    </row>
    <row r="1317" spans="1:9" x14ac:dyDescent="0.25">
      <c r="A1317" t="s">
        <v>2833</v>
      </c>
      <c r="B1317" s="2" t="s">
        <v>2956</v>
      </c>
      <c r="D1317" s="3" t="s">
        <v>3057</v>
      </c>
      <c r="F1317" s="2">
        <v>170</v>
      </c>
      <c r="G1317" s="2">
        <v>163</v>
      </c>
      <c r="H1317" s="2">
        <v>152</v>
      </c>
      <c r="I1317" s="859"/>
    </row>
    <row r="1318" spans="1:9" x14ac:dyDescent="0.25">
      <c r="A1318" t="s">
        <v>2833</v>
      </c>
      <c r="B1318" s="2" t="s">
        <v>2956</v>
      </c>
      <c r="D1318" s="3" t="s">
        <v>3058</v>
      </c>
      <c r="F1318" s="2">
        <v>171</v>
      </c>
      <c r="G1318" s="2">
        <v>163</v>
      </c>
      <c r="H1318" s="2">
        <v>152</v>
      </c>
      <c r="I1318" s="892"/>
    </row>
    <row r="1319" spans="1:9" x14ac:dyDescent="0.25">
      <c r="A1319" t="s">
        <v>2784</v>
      </c>
      <c r="B1319" s="2" t="s">
        <v>2956</v>
      </c>
      <c r="D1319" s="3" t="s">
        <v>2988</v>
      </c>
      <c r="F1319" s="2">
        <v>171</v>
      </c>
      <c r="G1319" s="2">
        <v>171</v>
      </c>
      <c r="H1319" s="2">
        <v>169</v>
      </c>
      <c r="I1319" s="850"/>
    </row>
    <row r="1320" spans="1:9" x14ac:dyDescent="0.25">
      <c r="A1320" t="s">
        <v>2798</v>
      </c>
      <c r="B1320" s="2" t="s">
        <v>2956</v>
      </c>
      <c r="D1320" s="3" t="s">
        <v>3006</v>
      </c>
      <c r="F1320" s="2">
        <v>172</v>
      </c>
      <c r="G1320" s="2">
        <v>164</v>
      </c>
      <c r="H1320" s="2">
        <v>153</v>
      </c>
      <c r="I1320" s="952"/>
    </row>
    <row r="1321" spans="1:9" x14ac:dyDescent="0.25">
      <c r="A1321" t="s">
        <v>2827</v>
      </c>
      <c r="B1321" s="2" t="s">
        <v>2956</v>
      </c>
      <c r="D1321" s="3" t="s">
        <v>3039</v>
      </c>
      <c r="F1321" s="2">
        <v>172</v>
      </c>
      <c r="G1321" s="2">
        <v>173</v>
      </c>
      <c r="H1321" s="2">
        <v>172</v>
      </c>
      <c r="I1321" s="945"/>
    </row>
    <row r="1322" spans="1:9" x14ac:dyDescent="0.25">
      <c r="A1322" t="s">
        <v>2937</v>
      </c>
      <c r="B1322" s="2" t="s">
        <v>2956</v>
      </c>
      <c r="D1322" s="3" t="s">
        <v>3039</v>
      </c>
      <c r="F1322" s="2">
        <v>172</v>
      </c>
      <c r="G1322" s="2">
        <v>173</v>
      </c>
      <c r="H1322" s="2">
        <v>172</v>
      </c>
      <c r="I1322" s="945"/>
    </row>
    <row r="1323" spans="1:9" x14ac:dyDescent="0.25">
      <c r="A1323" t="s">
        <v>2855</v>
      </c>
      <c r="B1323" s="2" t="s">
        <v>2956</v>
      </c>
      <c r="D1323" s="3" t="s">
        <v>3106</v>
      </c>
      <c r="F1323" s="2">
        <v>172</v>
      </c>
      <c r="G1323" s="2">
        <v>176</v>
      </c>
      <c r="H1323" s="2">
        <v>179</v>
      </c>
      <c r="I1323" s="995"/>
    </row>
    <row r="1324" spans="1:9" x14ac:dyDescent="0.25">
      <c r="A1324" t="s">
        <v>2895</v>
      </c>
      <c r="B1324" s="2" t="s">
        <v>2956</v>
      </c>
      <c r="D1324" s="3" t="s">
        <v>3143</v>
      </c>
      <c r="F1324" s="2">
        <v>172</v>
      </c>
      <c r="G1324" s="2">
        <v>192</v>
      </c>
      <c r="H1324" s="2">
        <v>201</v>
      </c>
      <c r="I1324" s="999"/>
    </row>
    <row r="1325" spans="1:9" x14ac:dyDescent="0.25">
      <c r="A1325" t="s">
        <v>2774</v>
      </c>
      <c r="B1325" s="2" t="s">
        <v>2956</v>
      </c>
      <c r="D1325" s="3" t="s">
        <v>2970</v>
      </c>
      <c r="F1325" s="2">
        <v>172</v>
      </c>
      <c r="G1325" s="2">
        <v>54</v>
      </c>
      <c r="H1325" s="2">
        <v>44</v>
      </c>
      <c r="I1325" s="1051"/>
    </row>
    <row r="1326" spans="1:9" x14ac:dyDescent="0.25">
      <c r="A1326" t="s">
        <v>2881</v>
      </c>
      <c r="B1326" s="2" t="s">
        <v>2956</v>
      </c>
      <c r="D1326" s="3" t="s">
        <v>3130</v>
      </c>
      <c r="F1326" s="2">
        <v>173</v>
      </c>
      <c r="G1326" s="2">
        <v>177</v>
      </c>
      <c r="H1326" s="2">
        <v>178</v>
      </c>
      <c r="I1326" s="1070"/>
    </row>
    <row r="1327" spans="1:9" x14ac:dyDescent="0.25">
      <c r="A1327" t="s">
        <v>2774</v>
      </c>
      <c r="B1327" s="2" t="s">
        <v>2956</v>
      </c>
      <c r="D1327" s="3" t="s">
        <v>2979</v>
      </c>
      <c r="F1327" s="2">
        <v>174</v>
      </c>
      <c r="G1327" s="2">
        <v>55</v>
      </c>
      <c r="H1327" s="2">
        <v>44</v>
      </c>
      <c r="I1327" s="1007"/>
    </row>
    <row r="1328" spans="1:9" x14ac:dyDescent="0.25">
      <c r="A1328" t="s">
        <v>2783</v>
      </c>
      <c r="B1328" s="2" t="s">
        <v>2956</v>
      </c>
      <c r="D1328" s="3" t="s">
        <v>2987</v>
      </c>
      <c r="F1328" s="2">
        <v>175</v>
      </c>
      <c r="G1328" s="2">
        <v>176</v>
      </c>
      <c r="H1328" s="2">
        <v>176</v>
      </c>
      <c r="I1328" s="879"/>
    </row>
    <row r="1329" spans="1:9" x14ac:dyDescent="0.25">
      <c r="A1329" t="s">
        <v>2815</v>
      </c>
      <c r="B1329" s="2" t="s">
        <v>2956</v>
      </c>
      <c r="D1329" s="3" t="s">
        <v>3024</v>
      </c>
      <c r="F1329" s="2">
        <v>177</v>
      </c>
      <c r="G1329" s="2">
        <v>179</v>
      </c>
      <c r="H1329" s="2">
        <v>175</v>
      </c>
      <c r="I1329" s="1017"/>
    </row>
    <row r="1330" spans="1:9" x14ac:dyDescent="0.25">
      <c r="A1330" t="s">
        <v>2815</v>
      </c>
      <c r="B1330" s="2" t="s">
        <v>2956</v>
      </c>
      <c r="D1330" s="3" t="s">
        <v>3083</v>
      </c>
      <c r="F1330" s="2">
        <v>179</v>
      </c>
      <c r="G1330" s="2">
        <v>181</v>
      </c>
      <c r="H1330" s="2">
        <v>175</v>
      </c>
      <c r="I1330" s="992"/>
    </row>
    <row r="1331" spans="1:9" x14ac:dyDescent="0.25">
      <c r="A1331" t="s">
        <v>2865</v>
      </c>
      <c r="B1331" s="2" t="s">
        <v>2956</v>
      </c>
      <c r="D1331" s="3" t="s">
        <v>3116</v>
      </c>
      <c r="F1331" s="2">
        <v>180</v>
      </c>
      <c r="G1331" s="2">
        <v>44</v>
      </c>
      <c r="H1331" s="2">
        <v>41</v>
      </c>
      <c r="I1331" s="1068"/>
    </row>
    <row r="1332" spans="1:9" x14ac:dyDescent="0.25">
      <c r="A1332" t="s">
        <v>2834</v>
      </c>
      <c r="B1332" s="2" t="s">
        <v>2956</v>
      </c>
      <c r="D1332" s="3" t="s">
        <v>3059</v>
      </c>
      <c r="F1332" s="2">
        <v>188</v>
      </c>
      <c r="G1332" s="2">
        <v>183</v>
      </c>
      <c r="H1332" s="2">
        <v>163</v>
      </c>
      <c r="I1332" s="925"/>
    </row>
    <row r="1333" spans="1:9" x14ac:dyDescent="0.25">
      <c r="A1333" t="s">
        <v>2799</v>
      </c>
      <c r="B1333" s="2" t="s">
        <v>2956</v>
      </c>
      <c r="D1333" s="3" t="s">
        <v>3007</v>
      </c>
      <c r="F1333" s="2">
        <v>189</v>
      </c>
      <c r="G1333" s="2">
        <v>183</v>
      </c>
      <c r="H1333" s="2">
        <v>163</v>
      </c>
      <c r="I1333" s="958"/>
    </row>
    <row r="1334" spans="1:9" x14ac:dyDescent="0.25">
      <c r="A1334" t="s">
        <v>2834</v>
      </c>
      <c r="B1334" s="2" t="s">
        <v>2956</v>
      </c>
      <c r="D1334" s="3" t="s">
        <v>3007</v>
      </c>
      <c r="F1334" s="2">
        <v>189</v>
      </c>
      <c r="G1334" s="2">
        <v>183</v>
      </c>
      <c r="H1334" s="2">
        <v>163</v>
      </c>
      <c r="I1334" s="958"/>
    </row>
    <row r="1335" spans="1:9" x14ac:dyDescent="0.25">
      <c r="A1335" t="s">
        <v>2835</v>
      </c>
      <c r="B1335" s="2" t="s">
        <v>2956</v>
      </c>
      <c r="D1335" s="3" t="s">
        <v>3060</v>
      </c>
      <c r="F1335" s="2">
        <v>190</v>
      </c>
      <c r="G1335" s="2">
        <v>185</v>
      </c>
      <c r="H1335" s="2">
        <v>165</v>
      </c>
      <c r="I1335" s="989"/>
    </row>
    <row r="1336" spans="1:9" x14ac:dyDescent="0.25">
      <c r="A1336" t="s">
        <v>2809</v>
      </c>
      <c r="B1336" s="2" t="s">
        <v>2956</v>
      </c>
      <c r="D1336" s="3" t="s">
        <v>3076</v>
      </c>
      <c r="F1336" s="2">
        <v>190</v>
      </c>
      <c r="G1336" s="2">
        <v>192</v>
      </c>
      <c r="H1336" s="2">
        <v>185</v>
      </c>
      <c r="I1336" s="1024"/>
    </row>
    <row r="1337" spans="1:9" x14ac:dyDescent="0.25">
      <c r="A1337" t="s">
        <v>2809</v>
      </c>
      <c r="B1337" s="2" t="s">
        <v>2956</v>
      </c>
      <c r="D1337" s="3" t="s">
        <v>3018</v>
      </c>
      <c r="F1337" s="2">
        <v>191</v>
      </c>
      <c r="G1337" s="2">
        <v>192</v>
      </c>
      <c r="H1337" s="2">
        <v>187</v>
      </c>
      <c r="I1337" s="1081"/>
    </row>
    <row r="1338" spans="1:9" x14ac:dyDescent="0.25">
      <c r="A1338" t="s">
        <v>2946</v>
      </c>
      <c r="B1338" s="2" t="s">
        <v>2956</v>
      </c>
      <c r="D1338" s="3" t="s">
        <v>3192</v>
      </c>
      <c r="F1338" s="2">
        <v>193</v>
      </c>
      <c r="G1338" s="2">
        <v>186</v>
      </c>
      <c r="H1338" s="2">
        <v>165</v>
      </c>
      <c r="I1338" s="877"/>
    </row>
    <row r="1339" spans="1:9" x14ac:dyDescent="0.25">
      <c r="A1339" t="s">
        <v>2844</v>
      </c>
      <c r="B1339" s="2" t="s">
        <v>2956</v>
      </c>
      <c r="D1339" s="3" t="s">
        <v>3086</v>
      </c>
      <c r="F1339" s="2">
        <v>194</v>
      </c>
      <c r="G1339" s="2">
        <v>170</v>
      </c>
      <c r="H1339" s="2">
        <v>141</v>
      </c>
      <c r="I1339" s="1044"/>
    </row>
    <row r="1340" spans="1:9" x14ac:dyDescent="0.25">
      <c r="A1340" t="s">
        <v>2843</v>
      </c>
      <c r="B1340" s="2" t="s">
        <v>2956</v>
      </c>
      <c r="D1340" s="3" t="s">
        <v>3079</v>
      </c>
      <c r="F1340" s="2">
        <v>194</v>
      </c>
      <c r="G1340" s="2">
        <v>177</v>
      </c>
      <c r="H1340" s="2">
        <v>152</v>
      </c>
      <c r="I1340" s="862"/>
    </row>
    <row r="1341" spans="1:9" x14ac:dyDescent="0.25">
      <c r="A1341" t="s">
        <v>2832</v>
      </c>
      <c r="B1341" s="2" t="s">
        <v>2956</v>
      </c>
      <c r="D1341" s="3" t="s">
        <v>3056</v>
      </c>
      <c r="F1341" s="2">
        <v>195</v>
      </c>
      <c r="G1341" s="2">
        <v>170</v>
      </c>
      <c r="H1341" s="2">
        <v>128</v>
      </c>
      <c r="I1341" s="1042"/>
    </row>
    <row r="1342" spans="1:9" x14ac:dyDescent="0.25">
      <c r="A1342" t="s">
        <v>2949</v>
      </c>
      <c r="B1342" s="2" t="s">
        <v>2956</v>
      </c>
      <c r="D1342" s="3" t="s">
        <v>3194</v>
      </c>
      <c r="F1342" s="2">
        <v>196</v>
      </c>
      <c r="G1342" s="2">
        <v>191</v>
      </c>
      <c r="H1342" s="2">
        <v>181</v>
      </c>
      <c r="I1342" s="976"/>
    </row>
    <row r="1343" spans="1:9" x14ac:dyDescent="0.25">
      <c r="A1343" t="s">
        <v>2954</v>
      </c>
      <c r="B1343" s="2" t="s">
        <v>2956</v>
      </c>
      <c r="D1343" s="3" t="s">
        <v>3199</v>
      </c>
      <c r="F1343" s="2">
        <v>197</v>
      </c>
      <c r="G1343" s="2">
        <v>178</v>
      </c>
      <c r="H1343" s="2">
        <v>155</v>
      </c>
      <c r="I1343" s="878"/>
    </row>
    <row r="1344" spans="1:9" x14ac:dyDescent="0.25">
      <c r="A1344" t="s">
        <v>2843</v>
      </c>
      <c r="B1344" s="2" t="s">
        <v>2956</v>
      </c>
      <c r="D1344" s="3" t="s">
        <v>3080</v>
      </c>
      <c r="F1344" s="2">
        <v>197</v>
      </c>
      <c r="G1344" s="2">
        <v>180</v>
      </c>
      <c r="H1344" s="2">
        <v>154</v>
      </c>
      <c r="I1344" s="895"/>
    </row>
    <row r="1345" spans="1:9" x14ac:dyDescent="0.25">
      <c r="A1345" t="s">
        <v>2802</v>
      </c>
      <c r="B1345" s="2" t="s">
        <v>2956</v>
      </c>
      <c r="D1345" s="3" t="s">
        <v>3010</v>
      </c>
      <c r="F1345" s="2">
        <v>197</v>
      </c>
      <c r="G1345" s="2">
        <v>190</v>
      </c>
      <c r="H1345" s="2">
        <v>173</v>
      </c>
      <c r="I1345" s="977"/>
    </row>
    <row r="1346" spans="1:9" x14ac:dyDescent="0.25">
      <c r="A1346" t="s">
        <v>2810</v>
      </c>
      <c r="B1346" s="2" t="s">
        <v>2956</v>
      </c>
      <c r="D1346" s="3" t="s">
        <v>3019</v>
      </c>
      <c r="F1346" s="2">
        <v>199</v>
      </c>
      <c r="G1346" s="2">
        <v>180</v>
      </c>
      <c r="H1346" s="2">
        <v>154</v>
      </c>
      <c r="I1346" s="854"/>
    </row>
    <row r="1347" spans="1:9" x14ac:dyDescent="0.25">
      <c r="A1347" t="s">
        <v>2872</v>
      </c>
      <c r="B1347" s="2" t="s">
        <v>2956</v>
      </c>
      <c r="D1347" s="3" t="s">
        <v>3123</v>
      </c>
      <c r="F1347" s="2">
        <v>203</v>
      </c>
      <c r="G1347" s="2">
        <v>200</v>
      </c>
      <c r="H1347" s="2">
        <v>189</v>
      </c>
      <c r="I1347" s="1030"/>
    </row>
    <row r="1348" spans="1:9" x14ac:dyDescent="0.25">
      <c r="A1348" t="s">
        <v>2818</v>
      </c>
      <c r="B1348" s="2" t="s">
        <v>2956</v>
      </c>
      <c r="D1348" s="3" t="s">
        <v>3089</v>
      </c>
      <c r="F1348" s="2">
        <v>207</v>
      </c>
      <c r="G1348" s="2">
        <v>206</v>
      </c>
      <c r="H1348" s="2">
        <v>197</v>
      </c>
      <c r="I1348" s="929"/>
    </row>
    <row r="1349" spans="1:9" x14ac:dyDescent="0.25">
      <c r="A1349" t="s">
        <v>2819</v>
      </c>
      <c r="B1349" s="2" t="s">
        <v>2956</v>
      </c>
      <c r="D1349" s="3" t="s">
        <v>3028</v>
      </c>
      <c r="F1349" s="2">
        <v>213</v>
      </c>
      <c r="G1349" s="2">
        <v>213</v>
      </c>
      <c r="H1349" s="2">
        <v>204</v>
      </c>
      <c r="I1349" s="889"/>
    </row>
    <row r="1350" spans="1:9" x14ac:dyDescent="0.25">
      <c r="A1350" t="s">
        <v>2818</v>
      </c>
      <c r="B1350" s="2" t="s">
        <v>2956</v>
      </c>
      <c r="D1350" s="3" t="s">
        <v>3088</v>
      </c>
      <c r="F1350" s="2">
        <v>213</v>
      </c>
      <c r="G1350" s="2">
        <v>213</v>
      </c>
      <c r="H1350" s="2">
        <v>205</v>
      </c>
      <c r="I1350" s="896"/>
    </row>
    <row r="1351" spans="1:9" x14ac:dyDescent="0.25">
      <c r="A1351" t="s">
        <v>2818</v>
      </c>
      <c r="B1351" s="2" t="s">
        <v>2956</v>
      </c>
      <c r="D1351" s="3" t="s">
        <v>3027</v>
      </c>
      <c r="F1351" s="2">
        <v>214</v>
      </c>
      <c r="G1351" s="2">
        <v>212</v>
      </c>
      <c r="H1351" s="2">
        <v>201</v>
      </c>
      <c r="I1351" s="855"/>
    </row>
    <row r="1352" spans="1:9" x14ac:dyDescent="0.25">
      <c r="A1352" t="s">
        <v>2785</v>
      </c>
      <c r="B1352" s="2" t="s">
        <v>2956</v>
      </c>
      <c r="D1352" s="3" t="s">
        <v>2989</v>
      </c>
      <c r="F1352" s="2">
        <v>215</v>
      </c>
      <c r="G1352" s="2">
        <v>200</v>
      </c>
      <c r="H1352" s="2">
        <v>179</v>
      </c>
      <c r="I1352" s="884"/>
    </row>
    <row r="1353" spans="1:9" x14ac:dyDescent="0.25">
      <c r="A1353" t="s">
        <v>2807</v>
      </c>
      <c r="B1353" s="2" t="s">
        <v>2956</v>
      </c>
      <c r="D1353" s="3" t="s">
        <v>3016</v>
      </c>
      <c r="F1353" s="2">
        <v>215</v>
      </c>
      <c r="G1353" s="2">
        <v>215</v>
      </c>
      <c r="H1353" s="2">
        <v>203</v>
      </c>
      <c r="I1353" s="1016"/>
    </row>
    <row r="1354" spans="1:9" x14ac:dyDescent="0.25">
      <c r="A1354" t="s">
        <v>2813</v>
      </c>
      <c r="B1354" s="2" t="s">
        <v>2956</v>
      </c>
      <c r="D1354" s="3" t="s">
        <v>3022</v>
      </c>
      <c r="F1354" s="2">
        <v>217</v>
      </c>
      <c r="G1354" s="2">
        <v>206</v>
      </c>
      <c r="H1354" s="2">
        <v>190</v>
      </c>
      <c r="I1354" s="953"/>
    </row>
    <row r="1355" spans="1:9" x14ac:dyDescent="0.25">
      <c r="A1355" t="s">
        <v>2841</v>
      </c>
      <c r="B1355" s="2" t="s">
        <v>2956</v>
      </c>
      <c r="D1355" s="3" t="s">
        <v>3074</v>
      </c>
      <c r="F1355" s="2">
        <v>217</v>
      </c>
      <c r="G1355" s="2">
        <v>217</v>
      </c>
      <c r="H1355" s="2">
        <v>205</v>
      </c>
      <c r="I1355" s="960"/>
    </row>
    <row r="1356" spans="1:9" x14ac:dyDescent="0.25">
      <c r="A1356" t="s">
        <v>2803</v>
      </c>
      <c r="B1356" s="2" t="s">
        <v>2956</v>
      </c>
      <c r="D1356" s="3" t="s">
        <v>3011</v>
      </c>
      <c r="F1356" s="2">
        <v>219</v>
      </c>
      <c r="G1356" s="2">
        <v>206</v>
      </c>
      <c r="H1356" s="2">
        <v>178</v>
      </c>
      <c r="I1356" s="853"/>
    </row>
    <row r="1357" spans="1:9" x14ac:dyDescent="0.25">
      <c r="A1357" t="s">
        <v>2856</v>
      </c>
      <c r="B1357" s="2" t="s">
        <v>2956</v>
      </c>
      <c r="D1357" s="3" t="s">
        <v>3107</v>
      </c>
      <c r="F1357" s="2">
        <v>222</v>
      </c>
      <c r="G1357" s="2">
        <v>219</v>
      </c>
      <c r="H1357" s="2">
        <v>207</v>
      </c>
      <c r="I1357" s="1028"/>
    </row>
    <row r="1358" spans="1:9" x14ac:dyDescent="0.25">
      <c r="A1358" t="s">
        <v>2849</v>
      </c>
      <c r="B1358" s="2" t="s">
        <v>2956</v>
      </c>
      <c r="D1358" s="3" t="s">
        <v>3100</v>
      </c>
      <c r="F1358" s="2">
        <v>224</v>
      </c>
      <c r="G1358" s="2">
        <v>231</v>
      </c>
      <c r="H1358" s="2">
        <v>235</v>
      </c>
      <c r="I1358" s="1066"/>
    </row>
    <row r="1359" spans="1:9" x14ac:dyDescent="0.25">
      <c r="A1359" t="s">
        <v>2792</v>
      </c>
      <c r="B1359" s="2" t="s">
        <v>2956</v>
      </c>
      <c r="D1359" s="3" t="s">
        <v>3048</v>
      </c>
      <c r="F1359" s="2">
        <v>225</v>
      </c>
      <c r="G1359" s="2">
        <v>209</v>
      </c>
      <c r="H1359" s="2">
        <v>176</v>
      </c>
      <c r="I1359" s="1060"/>
    </row>
    <row r="1360" spans="1:9" x14ac:dyDescent="0.25">
      <c r="A1360" t="s">
        <v>2826</v>
      </c>
      <c r="B1360" s="2" t="s">
        <v>2956</v>
      </c>
      <c r="D1360" s="3" t="s">
        <v>3038</v>
      </c>
      <c r="F1360" s="2">
        <v>225</v>
      </c>
      <c r="G1360" s="2">
        <v>218</v>
      </c>
      <c r="H1360" s="2">
        <v>199</v>
      </c>
      <c r="I1360" s="955"/>
    </row>
    <row r="1361" spans="1:9" x14ac:dyDescent="0.25">
      <c r="A1361" t="s">
        <v>2816</v>
      </c>
      <c r="B1361" s="2" t="s">
        <v>2956</v>
      </c>
      <c r="D1361" s="3" t="s">
        <v>3085</v>
      </c>
      <c r="F1361" s="2">
        <v>225</v>
      </c>
      <c r="G1361" s="2">
        <v>221</v>
      </c>
      <c r="H1361" s="2">
        <v>212</v>
      </c>
      <c r="I1361" s="1064"/>
    </row>
    <row r="1362" spans="1:9" x14ac:dyDescent="0.25">
      <c r="A1362" t="s">
        <v>2790</v>
      </c>
      <c r="B1362" s="2" t="s">
        <v>2956</v>
      </c>
      <c r="D1362" s="3" t="s">
        <v>3046</v>
      </c>
      <c r="F1362" s="2">
        <v>225</v>
      </c>
      <c r="G1362" s="2">
        <v>233</v>
      </c>
      <c r="H1362" s="2">
        <v>240</v>
      </c>
      <c r="I1362" s="956"/>
    </row>
    <row r="1363" spans="1:9" x14ac:dyDescent="0.25">
      <c r="A1363" t="s">
        <v>2790</v>
      </c>
      <c r="B1363" s="2" t="s">
        <v>2956</v>
      </c>
      <c r="D1363" s="3" t="s">
        <v>2996</v>
      </c>
      <c r="F1363" s="2">
        <v>225</v>
      </c>
      <c r="G1363" s="2">
        <v>233</v>
      </c>
      <c r="H1363" s="2">
        <v>243</v>
      </c>
      <c r="I1363" s="885"/>
    </row>
    <row r="1364" spans="1:9" x14ac:dyDescent="0.25">
      <c r="A1364" t="s">
        <v>2771</v>
      </c>
      <c r="B1364" s="2" t="s">
        <v>2956</v>
      </c>
      <c r="D1364" s="3" t="s">
        <v>2977</v>
      </c>
      <c r="F1364" s="2">
        <v>226</v>
      </c>
      <c r="G1364" s="2">
        <v>103</v>
      </c>
      <c r="H1364" s="2">
        <v>42</v>
      </c>
      <c r="I1364" s="1012"/>
    </row>
    <row r="1365" spans="1:9" x14ac:dyDescent="0.25">
      <c r="A1365" t="s">
        <v>2771</v>
      </c>
      <c r="B1365" s="2" t="s">
        <v>2956</v>
      </c>
      <c r="D1365" s="3" t="s">
        <v>2967</v>
      </c>
      <c r="F1365" s="2">
        <v>226</v>
      </c>
      <c r="G1365" s="2">
        <v>107</v>
      </c>
      <c r="H1365" s="2">
        <v>45</v>
      </c>
      <c r="I1365" s="947"/>
    </row>
    <row r="1366" spans="1:9" x14ac:dyDescent="0.25">
      <c r="A1366" t="s">
        <v>2792</v>
      </c>
      <c r="B1366" s="2" t="s">
        <v>2956</v>
      </c>
      <c r="D1366" s="3" t="s">
        <v>3000</v>
      </c>
      <c r="F1366" s="2">
        <v>226</v>
      </c>
      <c r="G1366" s="2">
        <v>208</v>
      </c>
      <c r="H1366" s="2">
        <v>173</v>
      </c>
      <c r="I1366" s="1014"/>
    </row>
    <row r="1367" spans="1:9" x14ac:dyDescent="0.25">
      <c r="A1367" t="s">
        <v>2816</v>
      </c>
      <c r="B1367" s="2" t="s">
        <v>2956</v>
      </c>
      <c r="D1367" s="3" t="s">
        <v>3025</v>
      </c>
      <c r="F1367" s="2">
        <v>226</v>
      </c>
      <c r="G1367" s="2">
        <v>221</v>
      </c>
      <c r="H1367" s="2">
        <v>212</v>
      </c>
      <c r="I1367" s="1057"/>
    </row>
    <row r="1368" spans="1:9" x14ac:dyDescent="0.25">
      <c r="A1368" t="s">
        <v>2792</v>
      </c>
      <c r="B1368" s="2" t="s">
        <v>2956</v>
      </c>
      <c r="D1368" s="3" t="s">
        <v>3047</v>
      </c>
      <c r="F1368" s="2">
        <v>227</v>
      </c>
      <c r="G1368" s="2">
        <v>210</v>
      </c>
      <c r="H1368" s="2">
        <v>176</v>
      </c>
      <c r="I1368" s="1020"/>
    </row>
    <row r="1369" spans="1:9" x14ac:dyDescent="0.25">
      <c r="A1369" t="s">
        <v>2880</v>
      </c>
      <c r="B1369" s="2" t="s">
        <v>2956</v>
      </c>
      <c r="D1369" s="3" t="s">
        <v>3129</v>
      </c>
      <c r="F1369" s="2">
        <v>227</v>
      </c>
      <c r="G1369" s="2">
        <v>225</v>
      </c>
      <c r="H1369" s="2">
        <v>216</v>
      </c>
      <c r="I1369" s="1031"/>
    </row>
    <row r="1370" spans="1:9" x14ac:dyDescent="0.25">
      <c r="A1370" t="s">
        <v>2913</v>
      </c>
      <c r="B1370" s="2" t="s">
        <v>2956</v>
      </c>
      <c r="D1370" s="3" t="s">
        <v>3162</v>
      </c>
      <c r="F1370" s="2">
        <v>228</v>
      </c>
      <c r="G1370" s="2">
        <v>223</v>
      </c>
      <c r="H1370" s="2">
        <v>214</v>
      </c>
      <c r="I1370" s="1009"/>
    </row>
    <row r="1371" spans="1:9" x14ac:dyDescent="0.25">
      <c r="A1371" t="s">
        <v>2874</v>
      </c>
      <c r="B1371" s="2" t="s">
        <v>2956</v>
      </c>
      <c r="D1371" s="3" t="s">
        <v>3125</v>
      </c>
      <c r="F1371" s="2">
        <v>229</v>
      </c>
      <c r="G1371" s="2">
        <v>226</v>
      </c>
      <c r="H1371" s="2">
        <v>216</v>
      </c>
      <c r="I1371" s="1046"/>
    </row>
    <row r="1372" spans="1:9" x14ac:dyDescent="0.25">
      <c r="A1372" t="s">
        <v>2870</v>
      </c>
      <c r="B1372" s="2" t="s">
        <v>2956</v>
      </c>
      <c r="D1372" s="3" t="s">
        <v>3121</v>
      </c>
      <c r="F1372" s="2">
        <v>230</v>
      </c>
      <c r="G1372" s="2">
        <v>90</v>
      </c>
      <c r="H1372" s="2">
        <v>35</v>
      </c>
      <c r="I1372" s="966"/>
    </row>
    <row r="1373" spans="1:9" x14ac:dyDescent="0.25">
      <c r="A1373" t="s">
        <v>2871</v>
      </c>
      <c r="B1373" s="2" t="s">
        <v>2956</v>
      </c>
      <c r="D1373" s="3" t="s">
        <v>3122</v>
      </c>
      <c r="F1373" s="2">
        <v>231</v>
      </c>
      <c r="G1373" s="2">
        <v>171</v>
      </c>
      <c r="H1373" s="2">
        <v>54</v>
      </c>
      <c r="I1373" s="997"/>
    </row>
    <row r="1374" spans="1:9" x14ac:dyDescent="0.25">
      <c r="A1374" t="s">
        <v>2902</v>
      </c>
      <c r="B1374" s="2" t="s">
        <v>2956</v>
      </c>
      <c r="D1374" s="3" t="s">
        <v>3150</v>
      </c>
      <c r="F1374" s="2">
        <v>231</v>
      </c>
      <c r="G1374" s="2">
        <v>232</v>
      </c>
      <c r="H1374" s="2">
        <v>223</v>
      </c>
      <c r="I1374" s="970"/>
    </row>
    <row r="1375" spans="1:9" x14ac:dyDescent="0.25">
      <c r="A1375" t="s">
        <v>2812</v>
      </c>
      <c r="B1375" s="2" t="s">
        <v>2956</v>
      </c>
      <c r="D1375" s="3" t="s">
        <v>3021</v>
      </c>
      <c r="F1375" s="2">
        <v>235</v>
      </c>
      <c r="G1375" s="2">
        <v>217</v>
      </c>
      <c r="H1375" s="2">
        <v>179</v>
      </c>
      <c r="I1375" s="920"/>
    </row>
    <row r="1376" spans="1:9" x14ac:dyDescent="0.25">
      <c r="A1376" t="s">
        <v>2786</v>
      </c>
      <c r="B1376" s="2" t="s">
        <v>2956</v>
      </c>
      <c r="D1376" s="3" t="s">
        <v>2990</v>
      </c>
      <c r="F1376" s="2">
        <v>235</v>
      </c>
      <c r="G1376" s="2">
        <v>225</v>
      </c>
      <c r="H1376" s="2">
        <v>206</v>
      </c>
      <c r="I1376" s="916"/>
    </row>
    <row r="1377" spans="1:9" x14ac:dyDescent="0.25">
      <c r="A1377" t="s">
        <v>2888</v>
      </c>
      <c r="B1377" s="2" t="s">
        <v>2956</v>
      </c>
      <c r="D1377" s="3" t="s">
        <v>3136</v>
      </c>
      <c r="F1377" s="2">
        <v>235</v>
      </c>
      <c r="G1377" s="2">
        <v>238</v>
      </c>
      <c r="H1377" s="2">
        <v>237</v>
      </c>
      <c r="I1377" s="1032"/>
    </row>
    <row r="1378" spans="1:9" x14ac:dyDescent="0.25">
      <c r="A1378" t="s">
        <v>2815</v>
      </c>
      <c r="B1378" s="2" t="s">
        <v>2956</v>
      </c>
      <c r="D1378" s="3" t="s">
        <v>3084</v>
      </c>
      <c r="F1378" s="2">
        <v>236</v>
      </c>
      <c r="G1378" s="2">
        <v>225</v>
      </c>
      <c r="H1378" s="2">
        <v>205</v>
      </c>
      <c r="I1378" s="1025"/>
    </row>
    <row r="1379" spans="1:9" x14ac:dyDescent="0.25">
      <c r="A1379" t="s">
        <v>2811</v>
      </c>
      <c r="B1379" s="2" t="s">
        <v>2956</v>
      </c>
      <c r="D1379" s="3" t="s">
        <v>3020</v>
      </c>
      <c r="F1379" s="2">
        <v>236</v>
      </c>
      <c r="G1379" s="2">
        <v>242</v>
      </c>
      <c r="H1379" s="2">
        <v>241</v>
      </c>
      <c r="I1379" s="888"/>
    </row>
    <row r="1380" spans="1:9" x14ac:dyDescent="0.25">
      <c r="A1380" t="s">
        <v>2812</v>
      </c>
      <c r="B1380" s="2" t="s">
        <v>2956</v>
      </c>
      <c r="D1380" s="3" t="s">
        <v>3082</v>
      </c>
      <c r="F1380" s="2">
        <v>237</v>
      </c>
      <c r="G1380" s="2">
        <v>219</v>
      </c>
      <c r="H1380" s="2">
        <v>181</v>
      </c>
      <c r="I1380" s="961"/>
    </row>
    <row r="1381" spans="1:9" x14ac:dyDescent="0.25">
      <c r="A1381" t="s">
        <v>2867</v>
      </c>
      <c r="B1381" s="2" t="s">
        <v>2956</v>
      </c>
      <c r="D1381" s="3" t="s">
        <v>3118</v>
      </c>
      <c r="F1381" s="2">
        <v>238</v>
      </c>
      <c r="G1381" s="2">
        <v>207</v>
      </c>
      <c r="H1381" s="2">
        <v>65</v>
      </c>
      <c r="I1381" s="867"/>
    </row>
    <row r="1382" spans="1:9" x14ac:dyDescent="0.25">
      <c r="A1382" t="s">
        <v>2850</v>
      </c>
      <c r="B1382" s="2" t="s">
        <v>2956</v>
      </c>
      <c r="D1382" s="3" t="s">
        <v>3101</v>
      </c>
      <c r="F1382" s="2">
        <v>239</v>
      </c>
      <c r="G1382" s="2">
        <v>234</v>
      </c>
      <c r="H1382" s="2">
        <v>217</v>
      </c>
      <c r="I1382" s="1045"/>
    </row>
    <row r="1383" spans="1:9" x14ac:dyDescent="0.25">
      <c r="A1383" t="s">
        <v>2945</v>
      </c>
      <c r="B1383" s="2" t="s">
        <v>2956</v>
      </c>
      <c r="D1383" s="3" t="s">
        <v>3191</v>
      </c>
      <c r="F1383" s="2">
        <v>239</v>
      </c>
      <c r="G1383" s="2">
        <v>238</v>
      </c>
      <c r="H1383" s="2">
        <v>229</v>
      </c>
      <c r="I1383" s="1049"/>
    </row>
    <row r="1384" spans="1:9" x14ac:dyDescent="0.25">
      <c r="A1384" t="s">
        <v>2811</v>
      </c>
      <c r="B1384" s="2" t="s">
        <v>2956</v>
      </c>
      <c r="D1384" s="3" t="s">
        <v>3081</v>
      </c>
      <c r="F1384" s="2">
        <v>239</v>
      </c>
      <c r="G1384" s="2">
        <v>243</v>
      </c>
      <c r="H1384" s="2">
        <v>242</v>
      </c>
      <c r="I1384" s="928"/>
    </row>
    <row r="1385" spans="1:9" x14ac:dyDescent="0.25">
      <c r="A1385" t="s">
        <v>2950</v>
      </c>
      <c r="B1385" s="2" t="s">
        <v>2956</v>
      </c>
      <c r="D1385" s="3" t="s">
        <v>3195</v>
      </c>
      <c r="F1385" s="2">
        <v>240</v>
      </c>
      <c r="G1385" s="2">
        <v>242</v>
      </c>
      <c r="H1385" s="2">
        <v>237</v>
      </c>
      <c r="I1385" s="1006"/>
    </row>
    <row r="1386" spans="1:9" x14ac:dyDescent="0.25">
      <c r="A1386" t="s">
        <v>2848</v>
      </c>
      <c r="B1386" s="2" t="s">
        <v>2956</v>
      </c>
      <c r="D1386" s="3" t="s">
        <v>3099</v>
      </c>
      <c r="F1386" s="2">
        <v>240</v>
      </c>
      <c r="G1386" s="2">
        <v>244</v>
      </c>
      <c r="H1386" s="2">
        <v>239</v>
      </c>
      <c r="I1386" s="1027"/>
    </row>
    <row r="1387" spans="1:9" x14ac:dyDescent="0.25">
      <c r="A1387" t="s">
        <v>2883</v>
      </c>
      <c r="B1387" s="2" t="s">
        <v>2956</v>
      </c>
      <c r="D1387" s="3" t="s">
        <v>3132</v>
      </c>
      <c r="F1387" s="2">
        <v>240</v>
      </c>
      <c r="G1387" s="2">
        <v>244</v>
      </c>
      <c r="H1387" s="2">
        <v>242</v>
      </c>
      <c r="I1387" s="869"/>
    </row>
    <row r="1388" spans="1:9" x14ac:dyDescent="0.25">
      <c r="A1388" t="s">
        <v>2773</v>
      </c>
      <c r="B1388" s="2" t="s">
        <v>2956</v>
      </c>
      <c r="D1388" s="3" t="s">
        <v>2969</v>
      </c>
      <c r="F1388" s="2">
        <v>241</v>
      </c>
      <c r="G1388" s="2">
        <v>160</v>
      </c>
      <c r="H1388" s="2">
        <v>36</v>
      </c>
      <c r="I1388" s="1011"/>
    </row>
    <row r="1389" spans="1:9" x14ac:dyDescent="0.25">
      <c r="A1389" t="s">
        <v>2773</v>
      </c>
      <c r="B1389" s="2" t="s">
        <v>2956</v>
      </c>
      <c r="D1389" s="3" t="s">
        <v>2978</v>
      </c>
      <c r="F1389" s="2">
        <v>241</v>
      </c>
      <c r="G1389" s="2">
        <v>161</v>
      </c>
      <c r="H1389" s="2">
        <v>33</v>
      </c>
      <c r="I1389" s="1052"/>
    </row>
    <row r="1390" spans="1:9" x14ac:dyDescent="0.25">
      <c r="A1390" t="s">
        <v>2769</v>
      </c>
      <c r="B1390" s="2" t="s">
        <v>2956</v>
      </c>
      <c r="D1390" s="3" t="s">
        <v>2964</v>
      </c>
      <c r="F1390" s="2">
        <v>241</v>
      </c>
      <c r="G1390" s="2">
        <v>214</v>
      </c>
      <c r="H1390" s="2">
        <v>80</v>
      </c>
      <c r="I1390" s="847"/>
    </row>
    <row r="1391" spans="1:9" x14ac:dyDescent="0.25">
      <c r="A1391" t="s">
        <v>1</v>
      </c>
      <c r="B1391" s="2" t="s">
        <v>2956</v>
      </c>
      <c r="D1391" s="3" t="s">
        <v>3031</v>
      </c>
      <c r="F1391" s="2">
        <v>242</v>
      </c>
      <c r="G1391" s="2">
        <v>244</v>
      </c>
      <c r="H1391" s="2">
        <v>239</v>
      </c>
      <c r="I1391" s="987"/>
    </row>
    <row r="1392" spans="1:9" x14ac:dyDescent="0.25">
      <c r="A1392" t="s">
        <v>2794</v>
      </c>
      <c r="B1392" s="2" t="s">
        <v>2956</v>
      </c>
      <c r="D1392" s="3" t="s">
        <v>3049</v>
      </c>
      <c r="F1392" s="2">
        <v>242</v>
      </c>
      <c r="G1392" s="2">
        <v>245</v>
      </c>
      <c r="H1392" s="2">
        <v>241</v>
      </c>
      <c r="I1392" s="1083"/>
    </row>
    <row r="1393" spans="1:9" x14ac:dyDescent="0.25">
      <c r="A1393" t="s">
        <v>2791</v>
      </c>
      <c r="B1393" s="2" t="s">
        <v>2956</v>
      </c>
      <c r="D1393" s="3" t="s">
        <v>2997</v>
      </c>
      <c r="F1393" s="2">
        <v>243</v>
      </c>
      <c r="G1393" s="2">
        <v>231</v>
      </c>
      <c r="H1393" s="2">
        <v>200</v>
      </c>
      <c r="I1393" s="917"/>
    </row>
    <row r="1394" spans="1:9" x14ac:dyDescent="0.25">
      <c r="A1394" t="s">
        <v>2794</v>
      </c>
      <c r="B1394" s="2" t="s">
        <v>2956</v>
      </c>
      <c r="D1394" s="3" t="s">
        <v>3002</v>
      </c>
      <c r="F1394" s="2">
        <v>243</v>
      </c>
      <c r="G1394" s="2">
        <v>245</v>
      </c>
      <c r="H1394" s="2">
        <v>241</v>
      </c>
      <c r="I1394" s="911"/>
    </row>
    <row r="1395" spans="1:9" x14ac:dyDescent="0.25">
      <c r="A1395" t="s">
        <v>1</v>
      </c>
      <c r="B1395" s="2" t="s">
        <v>2956</v>
      </c>
      <c r="D1395" s="3" t="s">
        <v>3002</v>
      </c>
      <c r="F1395" s="2">
        <v>243</v>
      </c>
      <c r="G1395" s="2">
        <v>245</v>
      </c>
      <c r="H1395" s="2">
        <v>241</v>
      </c>
      <c r="I1395" s="911"/>
    </row>
    <row r="1396" spans="1:9" x14ac:dyDescent="0.25">
      <c r="A1396" t="s">
        <v>2777</v>
      </c>
      <c r="B1396" s="2" t="s">
        <v>2956</v>
      </c>
      <c r="D1396" s="3" t="s">
        <v>2973</v>
      </c>
      <c r="F1396" s="2">
        <v>244</v>
      </c>
      <c r="G1396" s="2">
        <v>244</v>
      </c>
      <c r="H1396" s="2">
        <v>238</v>
      </c>
      <c r="I1396" s="882"/>
    </row>
    <row r="1397" spans="1:9" x14ac:dyDescent="0.25">
      <c r="A1397" t="s">
        <v>2778</v>
      </c>
      <c r="B1397" s="2" t="s">
        <v>2956</v>
      </c>
      <c r="D1397" s="3" t="s">
        <v>2974</v>
      </c>
      <c r="F1397" s="2">
        <v>245</v>
      </c>
      <c r="G1397" s="2">
        <v>167</v>
      </c>
      <c r="H1397" s="2">
        <v>27</v>
      </c>
      <c r="I1397" s="914"/>
    </row>
    <row r="1398" spans="1:9" x14ac:dyDescent="0.25">
      <c r="A1398" t="s">
        <v>2822</v>
      </c>
      <c r="B1398" s="2" t="s">
        <v>2956</v>
      </c>
      <c r="D1398" s="3" t="s">
        <v>3032</v>
      </c>
      <c r="F1398" s="2">
        <v>245</v>
      </c>
      <c r="G1398" s="2">
        <v>236</v>
      </c>
      <c r="H1398" s="2">
        <v>216</v>
      </c>
      <c r="I1398" s="1018"/>
    </row>
    <row r="1399" spans="1:9" x14ac:dyDescent="0.25">
      <c r="A1399" t="s">
        <v>2778</v>
      </c>
      <c r="B1399" s="2" t="s">
        <v>2956</v>
      </c>
      <c r="D1399" s="3" t="s">
        <v>2980</v>
      </c>
      <c r="F1399" s="2">
        <v>246</v>
      </c>
      <c r="G1399" s="2">
        <v>167</v>
      </c>
      <c r="H1399" s="2">
        <v>19</v>
      </c>
      <c r="I1399" s="849"/>
    </row>
    <row r="1400" spans="1:9" x14ac:dyDescent="0.25">
      <c r="A1400" t="s">
        <v>2777</v>
      </c>
      <c r="B1400" s="2" t="s">
        <v>2956</v>
      </c>
      <c r="D1400" s="3" t="s">
        <v>2984</v>
      </c>
      <c r="F1400" s="2">
        <v>246</v>
      </c>
      <c r="G1400" s="2">
        <v>248</v>
      </c>
      <c r="H1400" s="2">
        <v>245</v>
      </c>
      <c r="I1400" s="982"/>
    </row>
    <row r="1401" spans="1:9" x14ac:dyDescent="0.25">
      <c r="A1401" t="s">
        <v>2847</v>
      </c>
      <c r="B1401" s="2" t="s">
        <v>2956</v>
      </c>
      <c r="D1401" s="3" t="s">
        <v>3094</v>
      </c>
      <c r="F1401" s="2">
        <v>249</v>
      </c>
      <c r="G1401" s="2">
        <v>236</v>
      </c>
      <c r="H1401" s="2">
        <v>214</v>
      </c>
      <c r="I1401" s="864"/>
    </row>
    <row r="1402" spans="1:9" x14ac:dyDescent="0.25">
      <c r="A1402" t="s">
        <v>2772</v>
      </c>
      <c r="B1402" s="2" t="s">
        <v>2956</v>
      </c>
      <c r="D1402" s="3" t="s">
        <v>2968</v>
      </c>
      <c r="F1402" s="2">
        <v>31</v>
      </c>
      <c r="G1402" s="2">
        <v>78</v>
      </c>
      <c r="H1402" s="2">
        <v>129</v>
      </c>
      <c r="I1402" s="980"/>
    </row>
    <row r="1403" spans="1:9" x14ac:dyDescent="0.25">
      <c r="A1403" t="s">
        <v>2864</v>
      </c>
      <c r="B1403" s="2" t="s">
        <v>2956</v>
      </c>
      <c r="D1403" s="3" t="s">
        <v>3115</v>
      </c>
      <c r="F1403" s="2">
        <v>38</v>
      </c>
      <c r="G1403" s="2">
        <v>96</v>
      </c>
      <c r="H1403" s="2">
        <v>62</v>
      </c>
      <c r="I1403" s="1029"/>
    </row>
    <row r="1404" spans="1:9" x14ac:dyDescent="0.25">
      <c r="A1404" t="s">
        <v>2868</v>
      </c>
      <c r="B1404" s="2" t="s">
        <v>2956</v>
      </c>
      <c r="D1404" s="3" t="s">
        <v>3119</v>
      </c>
      <c r="F1404" s="2">
        <v>39</v>
      </c>
      <c r="G1404" s="2">
        <v>105</v>
      </c>
      <c r="H1404" s="2">
        <v>184</v>
      </c>
      <c r="I1404" s="900"/>
    </row>
    <row r="1405" spans="1:9" x14ac:dyDescent="0.25">
      <c r="A1405" t="s">
        <v>2942</v>
      </c>
      <c r="B1405" s="2" t="s">
        <v>2956</v>
      </c>
      <c r="D1405" s="3" t="s">
        <v>3189</v>
      </c>
      <c r="F1405" s="2">
        <v>41</v>
      </c>
      <c r="G1405" s="2">
        <v>74</v>
      </c>
      <c r="H1405" s="2">
        <v>98</v>
      </c>
      <c r="I1405" s="1005"/>
    </row>
    <row r="1406" spans="1:9" x14ac:dyDescent="0.25">
      <c r="A1406" t="s">
        <v>2897</v>
      </c>
      <c r="B1406" s="2" t="s">
        <v>2956</v>
      </c>
      <c r="D1406" s="3" t="s">
        <v>3145</v>
      </c>
      <c r="F1406" s="2">
        <v>42</v>
      </c>
      <c r="G1406" s="2">
        <v>42</v>
      </c>
      <c r="H1406" s="2">
        <v>43</v>
      </c>
      <c r="I1406" s="1072"/>
    </row>
    <row r="1407" spans="1:9" x14ac:dyDescent="0.25">
      <c r="A1407" t="s">
        <v>0</v>
      </c>
      <c r="B1407" s="2" t="s">
        <v>2956</v>
      </c>
      <c r="D1407" s="3" t="s">
        <v>3043</v>
      </c>
      <c r="F1407" s="2">
        <v>42</v>
      </c>
      <c r="G1407" s="2">
        <v>43</v>
      </c>
      <c r="H1407" s="2">
        <v>43</v>
      </c>
      <c r="I1407" s="857"/>
    </row>
    <row r="1408" spans="1:9" x14ac:dyDescent="0.25">
      <c r="A1408" t="s">
        <v>2869</v>
      </c>
      <c r="B1408" s="2" t="s">
        <v>2956</v>
      </c>
      <c r="D1408" s="3" t="s">
        <v>3120</v>
      </c>
      <c r="F1408" s="2">
        <v>42</v>
      </c>
      <c r="G1408" s="2">
        <v>51</v>
      </c>
      <c r="H1408" s="2">
        <v>79</v>
      </c>
      <c r="I1408" s="933"/>
    </row>
    <row r="1409" spans="1:9" x14ac:dyDescent="0.25">
      <c r="A1409" t="s">
        <v>0</v>
      </c>
      <c r="B1409" s="2" t="s">
        <v>2956</v>
      </c>
      <c r="D1409" s="3" t="s">
        <v>2981</v>
      </c>
      <c r="F1409" s="2">
        <v>43</v>
      </c>
      <c r="G1409" s="2">
        <v>43</v>
      </c>
      <c r="H1409" s="2">
        <v>44</v>
      </c>
      <c r="I1409" s="883"/>
    </row>
    <row r="1410" spans="1:9" x14ac:dyDescent="0.25">
      <c r="A1410" t="s">
        <v>0</v>
      </c>
      <c r="B1410" s="2" t="s">
        <v>2956</v>
      </c>
      <c r="D1410" s="3" t="s">
        <v>3044</v>
      </c>
      <c r="F1410" s="2">
        <v>44</v>
      </c>
      <c r="G1410" s="2">
        <v>44</v>
      </c>
      <c r="H1410" s="2">
        <v>45</v>
      </c>
      <c r="I1410" s="868"/>
    </row>
    <row r="1411" spans="1:9" x14ac:dyDescent="0.25">
      <c r="A1411" t="s">
        <v>2875</v>
      </c>
      <c r="B1411" s="2" t="s">
        <v>2956</v>
      </c>
      <c r="D1411" s="3" t="s">
        <v>3044</v>
      </c>
      <c r="F1411" s="2">
        <v>44</v>
      </c>
      <c r="G1411" s="2">
        <v>44</v>
      </c>
      <c r="H1411" s="2">
        <v>45</v>
      </c>
      <c r="I1411" s="868"/>
    </row>
    <row r="1412" spans="1:9" x14ac:dyDescent="0.25">
      <c r="A1412" t="s">
        <v>2884</v>
      </c>
      <c r="B1412" s="2" t="s">
        <v>2956</v>
      </c>
      <c r="D1412" s="3" t="s">
        <v>3044</v>
      </c>
      <c r="F1412" s="2">
        <v>44</v>
      </c>
      <c r="G1412" s="2">
        <v>44</v>
      </c>
      <c r="H1412" s="2">
        <v>45</v>
      </c>
      <c r="I1412" s="868"/>
    </row>
    <row r="1413" spans="1:9" x14ac:dyDescent="0.25">
      <c r="A1413" t="s">
        <v>0</v>
      </c>
      <c r="B1413" s="2" t="s">
        <v>2956</v>
      </c>
      <c r="D1413" s="3" t="s">
        <v>2993</v>
      </c>
      <c r="F1413" s="2">
        <v>44</v>
      </c>
      <c r="G1413" s="2">
        <v>45</v>
      </c>
      <c r="H1413" s="2">
        <v>46</v>
      </c>
      <c r="I1413" s="944"/>
    </row>
    <row r="1414" spans="1:9" x14ac:dyDescent="0.25">
      <c r="A1414" t="s">
        <v>2788</v>
      </c>
      <c r="B1414" s="2" t="s">
        <v>2956</v>
      </c>
      <c r="D1414" s="3" t="s">
        <v>2993</v>
      </c>
      <c r="F1414" s="2">
        <v>44</v>
      </c>
      <c r="G1414" s="2">
        <v>45</v>
      </c>
      <c r="H1414" s="2">
        <v>46</v>
      </c>
      <c r="I1414" s="944"/>
    </row>
    <row r="1415" spans="1:9" x14ac:dyDescent="0.25">
      <c r="A1415" t="s">
        <v>2775</v>
      </c>
      <c r="B1415" s="2" t="s">
        <v>2956</v>
      </c>
      <c r="D1415" s="3" t="s">
        <v>2971</v>
      </c>
      <c r="F1415" s="2">
        <v>44</v>
      </c>
      <c r="G1415" s="2">
        <v>57</v>
      </c>
      <c r="H1415" s="2">
        <v>114</v>
      </c>
      <c r="I1415" s="1039"/>
    </row>
    <row r="1416" spans="1:9" x14ac:dyDescent="0.25">
      <c r="A1416" t="s">
        <v>0</v>
      </c>
      <c r="B1416" s="2" t="s">
        <v>2956</v>
      </c>
      <c r="D1416" s="3" t="s">
        <v>2992</v>
      </c>
      <c r="F1416" s="2">
        <v>45</v>
      </c>
      <c r="G1416" s="2">
        <v>45</v>
      </c>
      <c r="H1416" s="2">
        <v>46</v>
      </c>
      <c r="I1416" s="983"/>
    </row>
    <row r="1417" spans="1:9" x14ac:dyDescent="0.25">
      <c r="A1417" t="s">
        <v>2879</v>
      </c>
      <c r="B1417" s="2" t="s">
        <v>2956</v>
      </c>
      <c r="D1417" s="3" t="s">
        <v>2992</v>
      </c>
      <c r="F1417" s="2">
        <v>45</v>
      </c>
      <c r="G1417" s="2">
        <v>45</v>
      </c>
      <c r="H1417" s="2">
        <v>46</v>
      </c>
      <c r="I1417" s="983"/>
    </row>
    <row r="1418" spans="1:9" x14ac:dyDescent="0.25">
      <c r="A1418" t="s">
        <v>2829</v>
      </c>
      <c r="B1418" s="2" t="s">
        <v>2956</v>
      </c>
      <c r="D1418" s="3" t="s">
        <v>3045</v>
      </c>
      <c r="F1418" s="2">
        <v>45</v>
      </c>
      <c r="G1418" s="2">
        <v>46</v>
      </c>
      <c r="H1418" s="2">
        <v>46</v>
      </c>
      <c r="I1418" s="923"/>
    </row>
    <row r="1419" spans="1:9" x14ac:dyDescent="0.25">
      <c r="A1419" t="s">
        <v>0</v>
      </c>
      <c r="B1419" s="2" t="s">
        <v>2956</v>
      </c>
      <c r="D1419" s="3" t="s">
        <v>2994</v>
      </c>
      <c r="F1419" s="2">
        <v>45</v>
      </c>
      <c r="G1419" s="2">
        <v>46</v>
      </c>
      <c r="H1419" s="2">
        <v>47</v>
      </c>
      <c r="I1419" s="909"/>
    </row>
    <row r="1420" spans="1:9" x14ac:dyDescent="0.25">
      <c r="A1420" t="s">
        <v>2947</v>
      </c>
      <c r="B1420" s="2" t="s">
        <v>2956</v>
      </c>
      <c r="D1420" s="3" t="s">
        <v>2994</v>
      </c>
      <c r="F1420" s="2">
        <v>45</v>
      </c>
      <c r="G1420" s="2">
        <v>46</v>
      </c>
      <c r="H1420" s="2">
        <v>47</v>
      </c>
      <c r="I1420" s="909"/>
    </row>
    <row r="1421" spans="1:9" x14ac:dyDescent="0.25">
      <c r="A1421" t="s">
        <v>15</v>
      </c>
      <c r="B1421" s="2" t="s">
        <v>2956</v>
      </c>
      <c r="D1421" s="3" t="s">
        <v>2966</v>
      </c>
      <c r="F1421" s="2">
        <v>45</v>
      </c>
      <c r="G1421" s="2">
        <v>59</v>
      </c>
      <c r="H1421" s="2">
        <v>80</v>
      </c>
      <c r="I1421" s="913"/>
    </row>
    <row r="1422" spans="1:9" x14ac:dyDescent="0.25">
      <c r="A1422" t="s">
        <v>2793</v>
      </c>
      <c r="B1422" s="2" t="s">
        <v>2956</v>
      </c>
      <c r="D1422" s="3" t="s">
        <v>3001</v>
      </c>
      <c r="F1422" s="2">
        <v>45</v>
      </c>
      <c r="G1422" s="2">
        <v>67</v>
      </c>
      <c r="H1422" s="2">
        <v>56</v>
      </c>
      <c r="I1422" s="1054"/>
    </row>
    <row r="1423" spans="1:9" x14ac:dyDescent="0.25">
      <c r="A1423" t="s">
        <v>2796</v>
      </c>
      <c r="B1423" s="2" t="s">
        <v>2956</v>
      </c>
      <c r="D1423" s="3" t="s">
        <v>3004</v>
      </c>
      <c r="F1423" s="2">
        <v>46</v>
      </c>
      <c r="G1423" s="2">
        <v>62</v>
      </c>
      <c r="H1423" s="2">
        <v>55</v>
      </c>
      <c r="I1423" s="886"/>
    </row>
    <row r="1424" spans="1:9" x14ac:dyDescent="0.25">
      <c r="A1424" t="s">
        <v>2768</v>
      </c>
      <c r="B1424" s="2" t="s">
        <v>2956</v>
      </c>
      <c r="D1424" s="3" t="s">
        <v>2963</v>
      </c>
      <c r="F1424" s="2">
        <v>46</v>
      </c>
      <c r="G1424" s="2">
        <v>83</v>
      </c>
      <c r="H1424" s="2">
        <v>161</v>
      </c>
      <c r="I1424" s="1080"/>
    </row>
    <row r="1425" spans="1:9" x14ac:dyDescent="0.25">
      <c r="A1425" t="s">
        <v>2831</v>
      </c>
      <c r="B1425" s="2" t="s">
        <v>2956</v>
      </c>
      <c r="D1425" s="3" t="s">
        <v>3054</v>
      </c>
      <c r="F1425" s="2">
        <v>47</v>
      </c>
      <c r="G1425" s="2">
        <v>61</v>
      </c>
      <c r="H1425" s="2">
        <v>54</v>
      </c>
      <c r="I1425" s="988"/>
    </row>
    <row r="1426" spans="1:9" x14ac:dyDescent="0.25">
      <c r="A1426" t="s">
        <v>2780</v>
      </c>
      <c r="B1426" s="2" t="s">
        <v>2956</v>
      </c>
      <c r="D1426" s="3" t="s">
        <v>2983</v>
      </c>
      <c r="F1426" s="2">
        <v>47</v>
      </c>
      <c r="G1426" s="2">
        <v>66</v>
      </c>
      <c r="H1426" s="2">
        <v>57</v>
      </c>
      <c r="I1426" s="949"/>
    </row>
    <row r="1427" spans="1:9" x14ac:dyDescent="0.25">
      <c r="A1427" t="s">
        <v>2941</v>
      </c>
      <c r="B1427" s="2" t="s">
        <v>2956</v>
      </c>
      <c r="D1427" s="3" t="s">
        <v>3188</v>
      </c>
      <c r="F1427" s="2">
        <v>48</v>
      </c>
      <c r="G1427" s="2">
        <v>48</v>
      </c>
      <c r="H1427" s="2">
        <v>49</v>
      </c>
      <c r="I1427" s="975"/>
    </row>
    <row r="1428" spans="1:9" x14ac:dyDescent="0.25">
      <c r="A1428" t="s">
        <v>2940</v>
      </c>
      <c r="B1428" s="2" t="s">
        <v>2956</v>
      </c>
      <c r="D1428" s="3" t="s">
        <v>3187</v>
      </c>
      <c r="F1428" s="2">
        <v>50</v>
      </c>
      <c r="G1428" s="2">
        <v>51</v>
      </c>
      <c r="H1428" s="2">
        <v>52</v>
      </c>
      <c r="I1428" s="942"/>
    </row>
    <row r="1429" spans="1:9" x14ac:dyDescent="0.25">
      <c r="A1429" t="s">
        <v>2795</v>
      </c>
      <c r="B1429" s="2" t="s">
        <v>2956</v>
      </c>
      <c r="D1429" s="3" t="s">
        <v>3050</v>
      </c>
      <c r="F1429" s="2">
        <v>54</v>
      </c>
      <c r="G1429" s="2">
        <v>80</v>
      </c>
      <c r="H1429" s="2">
        <v>69</v>
      </c>
      <c r="I1429" s="858"/>
    </row>
    <row r="1430" spans="1:9" x14ac:dyDescent="0.25">
      <c r="A1430" t="s">
        <v>2854</v>
      </c>
      <c r="B1430" s="2" t="s">
        <v>2956</v>
      </c>
      <c r="D1430" s="3" t="s">
        <v>3105</v>
      </c>
      <c r="F1430" s="2">
        <v>55</v>
      </c>
      <c r="G1430" s="2">
        <v>54</v>
      </c>
      <c r="H1430" s="2">
        <v>55</v>
      </c>
      <c r="I1430" s="964"/>
    </row>
    <row r="1431" spans="1:9" x14ac:dyDescent="0.25">
      <c r="A1431" t="s">
        <v>1397</v>
      </c>
      <c r="B1431" s="2" t="s">
        <v>2956</v>
      </c>
      <c r="D1431" s="3" t="s">
        <v>2999</v>
      </c>
      <c r="F1431" s="2">
        <v>55</v>
      </c>
      <c r="G1431" s="2">
        <v>59</v>
      </c>
      <c r="H1431" s="2">
        <v>62</v>
      </c>
      <c r="I1431" s="984"/>
    </row>
    <row r="1432" spans="1:9" x14ac:dyDescent="0.25">
      <c r="A1432" t="s">
        <v>1397</v>
      </c>
      <c r="B1432" s="2" t="s">
        <v>2956</v>
      </c>
      <c r="D1432" s="3" t="s">
        <v>2999</v>
      </c>
      <c r="F1432" s="2">
        <v>55</v>
      </c>
      <c r="G1432" s="2">
        <v>59</v>
      </c>
      <c r="H1432" s="2">
        <v>62</v>
      </c>
      <c r="I1432" s="984"/>
    </row>
    <row r="1433" spans="1:9" x14ac:dyDescent="0.25">
      <c r="A1433" t="s">
        <v>1397</v>
      </c>
      <c r="B1433" s="2" t="s">
        <v>2956</v>
      </c>
      <c r="D1433" s="3" t="s">
        <v>2998</v>
      </c>
      <c r="F1433" s="2">
        <v>56</v>
      </c>
      <c r="G1433" s="2">
        <v>59</v>
      </c>
      <c r="H1433" s="2">
        <v>62</v>
      </c>
      <c r="I1433" s="951"/>
    </row>
    <row r="1434" spans="1:9" x14ac:dyDescent="0.25">
      <c r="A1434" t="s">
        <v>2899</v>
      </c>
      <c r="B1434" s="2" t="s">
        <v>2956</v>
      </c>
      <c r="D1434" s="3" t="s">
        <v>3147</v>
      </c>
      <c r="F1434" s="2">
        <v>58</v>
      </c>
      <c r="G1434" s="2">
        <v>61</v>
      </c>
      <c r="H1434" s="2">
        <v>64</v>
      </c>
      <c r="I1434" s="871"/>
    </row>
    <row r="1435" spans="1:9" x14ac:dyDescent="0.25">
      <c r="A1435" t="s">
        <v>2781</v>
      </c>
      <c r="B1435" s="2" t="s">
        <v>2956</v>
      </c>
      <c r="D1435" s="3" t="s">
        <v>3037</v>
      </c>
      <c r="F1435" s="2">
        <v>58</v>
      </c>
      <c r="G1435" s="2">
        <v>65</v>
      </c>
      <c r="H1435" s="2">
        <v>69</v>
      </c>
      <c r="I1435" s="922"/>
    </row>
    <row r="1436" spans="1:9" x14ac:dyDescent="0.25">
      <c r="A1436" t="s">
        <v>2795</v>
      </c>
      <c r="B1436" s="2" t="s">
        <v>2956</v>
      </c>
      <c r="D1436" s="3" t="s">
        <v>3051</v>
      </c>
      <c r="F1436" s="2">
        <v>58</v>
      </c>
      <c r="G1436" s="2">
        <v>82</v>
      </c>
      <c r="H1436" s="2">
        <v>70</v>
      </c>
      <c r="I1436" s="891"/>
    </row>
    <row r="1437" spans="1:9" x14ac:dyDescent="0.25">
      <c r="A1437" t="s">
        <v>2887</v>
      </c>
      <c r="B1437" s="2" t="s">
        <v>2956</v>
      </c>
      <c r="D1437" s="3" t="s">
        <v>3135</v>
      </c>
      <c r="F1437" s="2">
        <v>59</v>
      </c>
      <c r="G1437" s="2">
        <v>53</v>
      </c>
      <c r="H1437" s="2">
        <v>48</v>
      </c>
      <c r="I1437" s="998"/>
    </row>
    <row r="1438" spans="1:9" x14ac:dyDescent="0.25">
      <c r="A1438" t="s">
        <v>2877</v>
      </c>
      <c r="B1438" s="2" t="s">
        <v>2956</v>
      </c>
      <c r="D1438" s="3" t="s">
        <v>3127</v>
      </c>
      <c r="F1438" s="2">
        <v>59</v>
      </c>
      <c r="G1438" s="2">
        <v>64</v>
      </c>
      <c r="H1438" s="2">
        <v>68</v>
      </c>
      <c r="I1438" s="934"/>
    </row>
    <row r="1439" spans="1:9" x14ac:dyDescent="0.25">
      <c r="A1439" t="s">
        <v>2795</v>
      </c>
      <c r="B1439" s="2" t="s">
        <v>2956</v>
      </c>
      <c r="D1439" s="3" t="s">
        <v>3003</v>
      </c>
      <c r="F1439" s="2">
        <v>59</v>
      </c>
      <c r="G1439" s="2">
        <v>81</v>
      </c>
      <c r="H1439" s="2">
        <v>70</v>
      </c>
      <c r="I1439" s="852"/>
    </row>
    <row r="1440" spans="1:9" x14ac:dyDescent="0.25">
      <c r="A1440" t="s">
        <v>2929</v>
      </c>
      <c r="B1440" s="2" t="s">
        <v>2956</v>
      </c>
      <c r="D1440" s="3" t="s">
        <v>3177</v>
      </c>
      <c r="F1440" s="2">
        <v>60</v>
      </c>
      <c r="G1440" s="2">
        <v>62</v>
      </c>
      <c r="H1440" s="2">
        <v>65</v>
      </c>
      <c r="I1440" s="978"/>
    </row>
    <row r="1441" spans="1:9" x14ac:dyDescent="0.25">
      <c r="A1441" t="s">
        <v>2876</v>
      </c>
      <c r="B1441" s="2" t="s">
        <v>2956</v>
      </c>
      <c r="D1441" s="3" t="s">
        <v>3126</v>
      </c>
      <c r="F1441" s="2">
        <v>60</v>
      </c>
      <c r="G1441" s="2">
        <v>63</v>
      </c>
      <c r="H1441" s="2">
        <v>67</v>
      </c>
      <c r="I1441" s="901"/>
    </row>
    <row r="1442" spans="1:9" x14ac:dyDescent="0.25">
      <c r="A1442" t="s">
        <v>2916</v>
      </c>
      <c r="B1442" s="2" t="s">
        <v>2956</v>
      </c>
      <c r="D1442" s="3" t="s">
        <v>3165</v>
      </c>
      <c r="F1442" s="2">
        <v>61</v>
      </c>
      <c r="G1442" s="2">
        <v>62</v>
      </c>
      <c r="H1442" s="2">
        <v>64</v>
      </c>
      <c r="I1442" s="939"/>
    </row>
    <row r="1443" spans="1:9" x14ac:dyDescent="0.25">
      <c r="A1443" t="s">
        <v>2781</v>
      </c>
      <c r="B1443" s="2" t="s">
        <v>2956</v>
      </c>
      <c r="D1443" s="3" t="s">
        <v>2985</v>
      </c>
      <c r="F1443" s="2">
        <v>61</v>
      </c>
      <c r="G1443" s="2">
        <v>68</v>
      </c>
      <c r="H1443" s="2">
        <v>73</v>
      </c>
      <c r="I1443" s="1013"/>
    </row>
    <row r="1444" spans="1:9" x14ac:dyDescent="0.25">
      <c r="A1444" t="s">
        <v>2797</v>
      </c>
      <c r="B1444" s="2" t="s">
        <v>2956</v>
      </c>
      <c r="D1444" s="3" t="s">
        <v>3055</v>
      </c>
      <c r="F1444" s="2">
        <v>61</v>
      </c>
      <c r="G1444" s="2">
        <v>73</v>
      </c>
      <c r="H1444" s="2">
        <v>84</v>
      </c>
      <c r="I1444" s="1021"/>
    </row>
    <row r="1445" spans="1:9" x14ac:dyDescent="0.25">
      <c r="A1445" t="s">
        <v>2797</v>
      </c>
      <c r="B1445" s="2" t="s">
        <v>2956</v>
      </c>
      <c r="D1445" s="3" t="s">
        <v>3005</v>
      </c>
      <c r="F1445" s="2">
        <v>61</v>
      </c>
      <c r="G1445" s="2">
        <v>73</v>
      </c>
      <c r="H1445" s="2">
        <v>85</v>
      </c>
      <c r="I1445" s="918"/>
    </row>
    <row r="1446" spans="1:9" x14ac:dyDescent="0.25">
      <c r="A1446" t="s">
        <v>2797</v>
      </c>
      <c r="B1446" s="2" t="s">
        <v>2956</v>
      </c>
      <c r="D1446" s="3" t="s">
        <v>3005</v>
      </c>
      <c r="F1446" s="2">
        <v>61</v>
      </c>
      <c r="G1446" s="2">
        <v>73</v>
      </c>
      <c r="H1446" s="2">
        <v>85</v>
      </c>
      <c r="I1446" s="918"/>
    </row>
    <row r="1447" spans="1:9" x14ac:dyDescent="0.25">
      <c r="A1447" t="s">
        <v>2905</v>
      </c>
      <c r="B1447" s="2" t="s">
        <v>2956</v>
      </c>
      <c r="D1447" s="3" t="s">
        <v>3154</v>
      </c>
      <c r="F1447" s="2">
        <v>64</v>
      </c>
      <c r="G1447" s="2">
        <v>64</v>
      </c>
      <c r="H1447" s="2">
        <v>65</v>
      </c>
      <c r="I1447" s="1048"/>
    </row>
    <row r="1448" spans="1:9" x14ac:dyDescent="0.25">
      <c r="A1448" t="s">
        <v>2782</v>
      </c>
      <c r="B1448" s="2" t="s">
        <v>2956</v>
      </c>
      <c r="D1448" s="3" t="s">
        <v>2986</v>
      </c>
      <c r="F1448" s="2">
        <v>66</v>
      </c>
      <c r="G1448" s="2">
        <v>57</v>
      </c>
      <c r="H1448" s="2">
        <v>51</v>
      </c>
      <c r="I1448" s="1053"/>
    </row>
    <row r="1449" spans="1:9" x14ac:dyDescent="0.25">
      <c r="A1449" t="s">
        <v>2805</v>
      </c>
      <c r="B1449" s="2" t="s">
        <v>2956</v>
      </c>
      <c r="D1449" s="3" t="s">
        <v>3014</v>
      </c>
      <c r="F1449" s="2">
        <v>66</v>
      </c>
      <c r="G1449" s="2">
        <v>67</v>
      </c>
      <c r="H1449" s="2">
        <v>67</v>
      </c>
      <c r="I1449" s="861"/>
    </row>
    <row r="1450" spans="1:9" x14ac:dyDescent="0.25">
      <c r="A1450" t="s">
        <v>2805</v>
      </c>
      <c r="B1450" s="2" t="s">
        <v>2956</v>
      </c>
      <c r="D1450" s="3" t="s">
        <v>3014</v>
      </c>
      <c r="F1450" s="2">
        <v>66</v>
      </c>
      <c r="G1450" s="2">
        <v>67</v>
      </c>
      <c r="H1450" s="2">
        <v>67</v>
      </c>
      <c r="I1450" s="861"/>
    </row>
    <row r="1451" spans="1:9" x14ac:dyDescent="0.25">
      <c r="A1451" t="s">
        <v>2805</v>
      </c>
      <c r="B1451" s="2" t="s">
        <v>2956</v>
      </c>
      <c r="D1451" s="3" t="s">
        <v>3013</v>
      </c>
      <c r="F1451" s="2">
        <v>68</v>
      </c>
      <c r="G1451" s="2">
        <v>68</v>
      </c>
      <c r="H1451" s="2">
        <v>67</v>
      </c>
      <c r="I1451" s="919"/>
    </row>
    <row r="1452" spans="1:9" x14ac:dyDescent="0.25">
      <c r="A1452" t="s">
        <v>2805</v>
      </c>
      <c r="B1452" s="2" t="s">
        <v>2956</v>
      </c>
      <c r="D1452" s="3" t="s">
        <v>3072</v>
      </c>
      <c r="F1452" s="2">
        <v>68</v>
      </c>
      <c r="G1452" s="2">
        <v>68</v>
      </c>
      <c r="H1452" s="2">
        <v>68</v>
      </c>
      <c r="I1452" s="894"/>
    </row>
    <row r="1453" spans="1:9" x14ac:dyDescent="0.25">
      <c r="A1453" t="s">
        <v>2931</v>
      </c>
      <c r="B1453" s="2" t="s">
        <v>2956</v>
      </c>
      <c r="D1453" s="3" t="s">
        <v>3179</v>
      </c>
      <c r="F1453" s="2">
        <v>69</v>
      </c>
      <c r="G1453" s="2">
        <v>70</v>
      </c>
      <c r="H1453" s="2">
        <v>71</v>
      </c>
      <c r="I1453" s="907"/>
    </row>
    <row r="1454" spans="1:9" x14ac:dyDescent="0.25">
      <c r="A1454" t="s">
        <v>2837</v>
      </c>
      <c r="B1454" s="2" t="s">
        <v>2956</v>
      </c>
      <c r="D1454" s="3" t="s">
        <v>3063</v>
      </c>
      <c r="F1454" s="2">
        <v>72</v>
      </c>
      <c r="G1454" s="2">
        <v>60</v>
      </c>
      <c r="H1454" s="2">
        <v>57</v>
      </c>
      <c r="I1454" s="1084"/>
    </row>
    <row r="1455" spans="1:9" x14ac:dyDescent="0.25">
      <c r="A1455" t="s">
        <v>2952</v>
      </c>
      <c r="B1455" s="2" t="s">
        <v>2956</v>
      </c>
      <c r="D1455" s="3" t="s">
        <v>3197</v>
      </c>
      <c r="F1455" s="2">
        <v>73</v>
      </c>
      <c r="G1455" s="2">
        <v>61</v>
      </c>
      <c r="H1455" s="2">
        <v>59</v>
      </c>
      <c r="I1455" s="1079"/>
    </row>
    <row r="1456" spans="1:9" x14ac:dyDescent="0.25">
      <c r="A1456" t="s">
        <v>1355</v>
      </c>
      <c r="B1456" s="2" t="s">
        <v>2956</v>
      </c>
      <c r="D1456" s="3" t="s">
        <v>3152</v>
      </c>
      <c r="F1456" s="2">
        <v>73</v>
      </c>
      <c r="G1456" s="2">
        <v>63</v>
      </c>
      <c r="H1456" s="2">
        <v>51</v>
      </c>
      <c r="I1456" s="1034"/>
    </row>
    <row r="1457" spans="1:9" x14ac:dyDescent="0.25">
      <c r="A1457" t="s">
        <v>2800</v>
      </c>
      <c r="B1457" s="2" t="s">
        <v>2956</v>
      </c>
      <c r="D1457" s="3" t="s">
        <v>3065</v>
      </c>
      <c r="F1457" s="2">
        <v>73</v>
      </c>
      <c r="G1457" s="2">
        <v>76</v>
      </c>
      <c r="H1457" s="2">
        <v>82</v>
      </c>
      <c r="I1457" s="893"/>
    </row>
    <row r="1458" spans="1:9" x14ac:dyDescent="0.25">
      <c r="A1458" t="s">
        <v>2910</v>
      </c>
      <c r="B1458" s="2" t="s">
        <v>2956</v>
      </c>
      <c r="D1458" s="3" t="s">
        <v>3159</v>
      </c>
      <c r="F1458" s="2">
        <v>74</v>
      </c>
      <c r="G1458" s="2">
        <v>71</v>
      </c>
      <c r="H1458" s="2">
        <v>69</v>
      </c>
      <c r="I1458" s="1001"/>
    </row>
    <row r="1459" spans="1:9" x14ac:dyDescent="0.25">
      <c r="A1459" t="s">
        <v>2926</v>
      </c>
      <c r="B1459" s="2" t="s">
        <v>2956</v>
      </c>
      <c r="D1459" s="3" t="s">
        <v>3175</v>
      </c>
      <c r="F1459" s="2">
        <v>74</v>
      </c>
      <c r="G1459" s="2">
        <v>72</v>
      </c>
      <c r="H1459" s="2">
        <v>70</v>
      </c>
      <c r="I1459" s="1003"/>
    </row>
    <row r="1460" spans="1:9" x14ac:dyDescent="0.25">
      <c r="A1460" t="s">
        <v>2800</v>
      </c>
      <c r="B1460" s="2" t="s">
        <v>2956</v>
      </c>
      <c r="D1460" s="3" t="s">
        <v>3008</v>
      </c>
      <c r="F1460" s="2">
        <v>74</v>
      </c>
      <c r="G1460" s="2">
        <v>78</v>
      </c>
      <c r="H1460" s="2">
        <v>84</v>
      </c>
      <c r="I1460" s="1015"/>
    </row>
    <row r="1461" spans="1:9" x14ac:dyDescent="0.25">
      <c r="A1461" t="s">
        <v>2800</v>
      </c>
      <c r="B1461" s="2" t="s">
        <v>2956</v>
      </c>
      <c r="D1461" s="3" t="s">
        <v>3064</v>
      </c>
      <c r="F1461" s="2">
        <v>74</v>
      </c>
      <c r="G1461" s="2">
        <v>78</v>
      </c>
      <c r="H1461" s="2">
        <v>85</v>
      </c>
      <c r="I1461" s="860"/>
    </row>
    <row r="1462" spans="1:9" x14ac:dyDescent="0.25">
      <c r="A1462" t="s">
        <v>2866</v>
      </c>
      <c r="B1462" s="2" t="s">
        <v>2956</v>
      </c>
      <c r="D1462" s="3" t="s">
        <v>3117</v>
      </c>
      <c r="F1462" s="2">
        <v>75</v>
      </c>
      <c r="G1462" s="2">
        <v>137</v>
      </c>
      <c r="H1462" s="2">
        <v>65</v>
      </c>
      <c r="I1462" s="1086"/>
    </row>
    <row r="1463" spans="1:9" x14ac:dyDescent="0.25">
      <c r="A1463" t="s">
        <v>2789</v>
      </c>
      <c r="B1463" s="2" t="s">
        <v>2956</v>
      </c>
      <c r="D1463" s="3" t="s">
        <v>2995</v>
      </c>
      <c r="F1463" s="2">
        <v>75</v>
      </c>
      <c r="G1463" s="2">
        <v>93</v>
      </c>
      <c r="H1463" s="2">
        <v>105</v>
      </c>
      <c r="I1463" s="851"/>
    </row>
    <row r="1464" spans="1:9" x14ac:dyDescent="0.25">
      <c r="A1464" t="s">
        <v>2939</v>
      </c>
      <c r="B1464" s="2" t="s">
        <v>2956</v>
      </c>
      <c r="D1464" s="3" t="s">
        <v>3186</v>
      </c>
      <c r="F1464" s="2">
        <v>77</v>
      </c>
      <c r="G1464" s="2">
        <v>81</v>
      </c>
      <c r="H1464" s="2">
        <v>83</v>
      </c>
      <c r="I1464" s="908"/>
    </row>
    <row r="1465" spans="1:9" x14ac:dyDescent="0.25">
      <c r="A1465" t="s">
        <v>2787</v>
      </c>
      <c r="B1465" s="2" t="s">
        <v>2956</v>
      </c>
      <c r="D1465" s="3" t="s">
        <v>2991</v>
      </c>
      <c r="F1465" s="2">
        <v>79</v>
      </c>
      <c r="G1465" s="2">
        <v>82</v>
      </c>
      <c r="H1465" s="2">
        <v>86</v>
      </c>
      <c r="I1465" s="950"/>
    </row>
    <row r="1466" spans="1:9" x14ac:dyDescent="0.25">
      <c r="A1466" t="s">
        <v>2787</v>
      </c>
      <c r="B1466" s="2" t="s">
        <v>2956</v>
      </c>
      <c r="D1466" s="3" t="s">
        <v>3042</v>
      </c>
      <c r="F1466" s="2">
        <v>79</v>
      </c>
      <c r="G1466" s="2">
        <v>82</v>
      </c>
      <c r="H1466" s="2">
        <v>87</v>
      </c>
      <c r="I1466" s="1041"/>
    </row>
    <row r="1467" spans="1:9" x14ac:dyDescent="0.25">
      <c r="A1467" t="s">
        <v>2903</v>
      </c>
      <c r="B1467" s="2" t="s">
        <v>2956</v>
      </c>
      <c r="D1467" s="3" t="s">
        <v>3151</v>
      </c>
      <c r="F1467" s="2">
        <v>79</v>
      </c>
      <c r="G1467" s="2">
        <v>96</v>
      </c>
      <c r="H1467" s="2">
        <v>107</v>
      </c>
      <c r="I1467" s="1000"/>
    </row>
    <row r="1468" spans="1:9" x14ac:dyDescent="0.25">
      <c r="A1468" t="s">
        <v>2766</v>
      </c>
      <c r="B1468" s="2" t="s">
        <v>2956</v>
      </c>
      <c r="D1468" s="3" t="s">
        <v>2961</v>
      </c>
      <c r="F1468" s="2">
        <v>81</v>
      </c>
      <c r="G1468" s="2">
        <v>58</v>
      </c>
      <c r="H1468" s="2">
        <v>112</v>
      </c>
      <c r="I1468" s="1010"/>
    </row>
    <row r="1469" spans="1:9" x14ac:dyDescent="0.25">
      <c r="A1469" t="s">
        <v>2820</v>
      </c>
      <c r="B1469" s="2" t="s">
        <v>2956</v>
      </c>
      <c r="D1469" s="3" t="s">
        <v>3029</v>
      </c>
      <c r="F1469" s="2">
        <v>81</v>
      </c>
      <c r="G1469" s="2">
        <v>73</v>
      </c>
      <c r="H1469" s="2">
        <v>63</v>
      </c>
      <c r="I1469" s="921"/>
    </row>
    <row r="1470" spans="1:9" x14ac:dyDescent="0.25">
      <c r="A1470" t="s">
        <v>2852</v>
      </c>
      <c r="B1470" s="2" t="s">
        <v>2956</v>
      </c>
      <c r="D1470" s="3" t="s">
        <v>3103</v>
      </c>
      <c r="F1470" s="2">
        <v>82</v>
      </c>
      <c r="G1470" s="2">
        <v>74</v>
      </c>
      <c r="H1470" s="2">
        <v>62</v>
      </c>
      <c r="I1470" s="898"/>
    </row>
    <row r="1471" spans="1:9" x14ac:dyDescent="0.25">
      <c r="A1471" t="s">
        <v>2825</v>
      </c>
      <c r="B1471" s="2" t="s">
        <v>2956</v>
      </c>
      <c r="D1471" s="3" t="s">
        <v>3098</v>
      </c>
      <c r="F1471" s="2">
        <v>82</v>
      </c>
      <c r="G1471" s="2">
        <v>81</v>
      </c>
      <c r="H1471" s="2">
        <v>76</v>
      </c>
      <c r="I1471" s="994"/>
    </row>
    <row r="1472" spans="1:9" x14ac:dyDescent="0.25">
      <c r="A1472" t="s">
        <v>2825</v>
      </c>
      <c r="B1472" s="2" t="s">
        <v>2956</v>
      </c>
      <c r="D1472" s="3" t="s">
        <v>3097</v>
      </c>
      <c r="F1472" s="2">
        <v>82</v>
      </c>
      <c r="G1472" s="2">
        <v>82</v>
      </c>
      <c r="H1472" s="2">
        <v>77</v>
      </c>
      <c r="I1472" s="963"/>
    </row>
    <row r="1473" spans="1:9" x14ac:dyDescent="0.25">
      <c r="A1473" t="s">
        <v>2825</v>
      </c>
      <c r="B1473" s="2" t="s">
        <v>2956</v>
      </c>
      <c r="D1473" s="3" t="s">
        <v>3036</v>
      </c>
      <c r="F1473" s="2">
        <v>82</v>
      </c>
      <c r="G1473" s="2">
        <v>82</v>
      </c>
      <c r="H1473" s="2">
        <v>78</v>
      </c>
      <c r="I1473" s="890"/>
    </row>
    <row r="1474" spans="1:9" x14ac:dyDescent="0.25">
      <c r="A1474" t="s">
        <v>2938</v>
      </c>
      <c r="B1474" s="2" t="s">
        <v>2956</v>
      </c>
      <c r="D1474" s="3" t="s">
        <v>3185</v>
      </c>
      <c r="F1474" s="2">
        <v>82</v>
      </c>
      <c r="G1474" s="2">
        <v>86</v>
      </c>
      <c r="H1474" s="2">
        <v>89</v>
      </c>
      <c r="I1474" s="876"/>
    </row>
    <row r="1475" spans="1:9" x14ac:dyDescent="0.25">
      <c r="A1475" t="s">
        <v>2762</v>
      </c>
      <c r="B1475" s="2" t="s">
        <v>2956</v>
      </c>
      <c r="D1475" s="3" t="s">
        <v>2957</v>
      </c>
      <c r="F1475" s="2">
        <v>83</v>
      </c>
      <c r="G1475" s="2">
        <v>74</v>
      </c>
      <c r="H1475" s="2">
        <v>60</v>
      </c>
      <c r="I1475" s="880"/>
    </row>
    <row r="1476" spans="1:9" x14ac:dyDescent="0.25">
      <c r="A1476" t="s">
        <v>2886</v>
      </c>
      <c r="B1476" s="2" t="s">
        <v>2956</v>
      </c>
      <c r="D1476" s="3" t="s">
        <v>3134</v>
      </c>
      <c r="F1476" s="2">
        <v>84</v>
      </c>
      <c r="G1476" s="2">
        <v>63</v>
      </c>
      <c r="H1476" s="2">
        <v>59</v>
      </c>
      <c r="I1476" s="968"/>
    </row>
    <row r="1477" spans="1:9" x14ac:dyDescent="0.25">
      <c r="A1477" t="s">
        <v>2882</v>
      </c>
      <c r="B1477" s="2" t="s">
        <v>2956</v>
      </c>
      <c r="D1477" s="3" t="s">
        <v>3131</v>
      </c>
      <c r="F1477" s="2">
        <v>84</v>
      </c>
      <c r="G1477" s="2">
        <v>84</v>
      </c>
      <c r="H1477" s="2">
        <v>80</v>
      </c>
      <c r="I1477" s="1087"/>
    </row>
    <row r="1478" spans="1:9" x14ac:dyDescent="0.25">
      <c r="A1478" t="s">
        <v>2943</v>
      </c>
      <c r="B1478" s="2" t="s">
        <v>2956</v>
      </c>
      <c r="D1478" s="3" t="s">
        <v>1702</v>
      </c>
      <c r="F1478" s="2">
        <v>84</v>
      </c>
      <c r="G1478" s="2">
        <v>84</v>
      </c>
      <c r="H1478" s="2">
        <v>84</v>
      </c>
      <c r="I1478" s="166"/>
    </row>
    <row r="1479" spans="1:9" x14ac:dyDescent="0.25">
      <c r="A1479" t="s">
        <v>2930</v>
      </c>
      <c r="B1479" s="2" t="s">
        <v>2956</v>
      </c>
      <c r="D1479" s="3" t="s">
        <v>3178</v>
      </c>
      <c r="F1479" s="2">
        <v>85</v>
      </c>
      <c r="G1479" s="2">
        <v>71</v>
      </c>
      <c r="H1479" s="2">
        <v>55</v>
      </c>
      <c r="I1479" s="875"/>
    </row>
    <row r="1480" spans="1:9" x14ac:dyDescent="0.25">
      <c r="A1480" t="s">
        <v>2825</v>
      </c>
      <c r="B1480" s="2" t="s">
        <v>2956</v>
      </c>
      <c r="D1480" s="3" t="s">
        <v>3035</v>
      </c>
      <c r="F1480" s="2">
        <v>85</v>
      </c>
      <c r="G1480" s="2">
        <v>84</v>
      </c>
      <c r="H1480" s="2">
        <v>79</v>
      </c>
      <c r="I1480" s="856"/>
    </row>
    <row r="1481" spans="1:9" x14ac:dyDescent="0.25">
      <c r="A1481" t="s">
        <v>2933</v>
      </c>
      <c r="B1481" s="2" t="s">
        <v>2956</v>
      </c>
      <c r="D1481" s="3" t="s">
        <v>3181</v>
      </c>
      <c r="F1481" s="2">
        <v>85</v>
      </c>
      <c r="G1481" s="2">
        <v>88</v>
      </c>
      <c r="H1481" s="2">
        <v>91</v>
      </c>
      <c r="I1481" s="974"/>
    </row>
    <row r="1482" spans="1:9" x14ac:dyDescent="0.25">
      <c r="A1482" t="s">
        <v>2909</v>
      </c>
      <c r="B1482" s="2" t="s">
        <v>2956</v>
      </c>
      <c r="D1482" s="3" t="s">
        <v>3158</v>
      </c>
      <c r="F1482" s="2">
        <v>86</v>
      </c>
      <c r="G1482" s="2">
        <v>85</v>
      </c>
      <c r="H1482" s="2">
        <v>81</v>
      </c>
      <c r="I1482" s="971"/>
    </row>
    <row r="1483" spans="1:9" x14ac:dyDescent="0.25">
      <c r="A1483" t="s">
        <v>2924</v>
      </c>
      <c r="B1483" s="2" t="s">
        <v>2956</v>
      </c>
      <c r="D1483" s="3" t="s">
        <v>3173</v>
      </c>
      <c r="F1483" s="2">
        <v>87</v>
      </c>
      <c r="G1483" s="2">
        <v>92</v>
      </c>
      <c r="H1483" s="2">
        <v>93</v>
      </c>
      <c r="I1483" s="940"/>
    </row>
    <row r="1484" spans="1:9" x14ac:dyDescent="0.25">
      <c r="A1484" t="s">
        <v>2920</v>
      </c>
      <c r="B1484" s="2" t="s">
        <v>2956</v>
      </c>
      <c r="D1484" s="3" t="s">
        <v>3169</v>
      </c>
      <c r="F1484" s="2">
        <v>88</v>
      </c>
      <c r="G1484" s="2">
        <v>56</v>
      </c>
      <c r="H1484" s="2">
        <v>56</v>
      </c>
      <c r="I1484" s="1075"/>
    </row>
    <row r="1485" spans="1:9" x14ac:dyDescent="0.25">
      <c r="A1485" t="s">
        <v>2935</v>
      </c>
      <c r="B1485" s="2" t="s">
        <v>2956</v>
      </c>
      <c r="D1485" s="3" t="s">
        <v>3183</v>
      </c>
      <c r="F1485" s="2">
        <v>89</v>
      </c>
      <c r="G1485" s="2">
        <v>90</v>
      </c>
      <c r="H1485" s="2">
        <v>87</v>
      </c>
      <c r="I1485" s="1037"/>
    </row>
    <row r="1486" spans="1:9" x14ac:dyDescent="0.25">
      <c r="A1486" t="s">
        <v>2861</v>
      </c>
      <c r="B1486" s="2" t="s">
        <v>2956</v>
      </c>
      <c r="D1486" s="3" t="s">
        <v>3112</v>
      </c>
      <c r="F1486" s="2">
        <v>89</v>
      </c>
      <c r="G1486" s="2">
        <v>91</v>
      </c>
      <c r="H1486" s="2">
        <v>88</v>
      </c>
      <c r="I1486" s="932"/>
    </row>
    <row r="1487" spans="1:9" x14ac:dyDescent="0.25">
      <c r="A1487" t="s">
        <v>2821</v>
      </c>
      <c r="B1487" s="2" t="s">
        <v>2956</v>
      </c>
      <c r="D1487" s="3" t="s">
        <v>3030</v>
      </c>
      <c r="F1487" s="2">
        <v>90</v>
      </c>
      <c r="G1487" s="2">
        <v>121</v>
      </c>
      <c r="H1487" s="2">
        <v>144</v>
      </c>
      <c r="I1487" s="954"/>
    </row>
    <row r="1488" spans="1:9" x14ac:dyDescent="0.25">
      <c r="A1488" t="s">
        <v>2828</v>
      </c>
      <c r="B1488" s="2" t="s">
        <v>2956</v>
      </c>
      <c r="D1488" s="3" t="s">
        <v>3041</v>
      </c>
      <c r="F1488" s="2">
        <v>91</v>
      </c>
      <c r="G1488" s="2">
        <v>92</v>
      </c>
      <c r="H1488" s="2">
        <v>93</v>
      </c>
      <c r="I1488" s="1059"/>
    </row>
    <row r="1489" spans="1:9" x14ac:dyDescent="0.25">
      <c r="A1489" t="s">
        <v>2828</v>
      </c>
      <c r="B1489" s="2" t="s">
        <v>2956</v>
      </c>
      <c r="D1489" s="3" t="s">
        <v>3040</v>
      </c>
      <c r="F1489" s="2">
        <v>91</v>
      </c>
      <c r="G1489" s="2">
        <v>93</v>
      </c>
      <c r="H1489" s="2">
        <v>93</v>
      </c>
      <c r="I1489" s="1019"/>
    </row>
    <row r="1490" spans="1:9" x14ac:dyDescent="0.25">
      <c r="A1490" t="s">
        <v>2951</v>
      </c>
      <c r="B1490" s="2" t="s">
        <v>2956</v>
      </c>
      <c r="D1490" s="3" t="s">
        <v>3196</v>
      </c>
      <c r="F1490" s="2">
        <v>92</v>
      </c>
      <c r="G1490" s="2">
        <v>96</v>
      </c>
      <c r="H1490" s="2">
        <v>99</v>
      </c>
      <c r="I1490" s="1038"/>
    </row>
    <row r="1491" spans="1:9" x14ac:dyDescent="0.25">
      <c r="A1491" t="s">
        <v>2912</v>
      </c>
      <c r="B1491" s="2" t="s">
        <v>2956</v>
      </c>
      <c r="D1491" s="3" t="s">
        <v>3161</v>
      </c>
      <c r="F1491" s="2">
        <v>93</v>
      </c>
      <c r="G1491" s="2">
        <v>95</v>
      </c>
      <c r="H1491" s="2">
        <v>93</v>
      </c>
      <c r="I1491" s="1074"/>
    </row>
    <row r="1492" spans="1:9" x14ac:dyDescent="0.25">
      <c r="A1492" t="s">
        <v>2840</v>
      </c>
      <c r="B1492" s="2" t="s">
        <v>2956</v>
      </c>
      <c r="D1492" s="3" t="s">
        <v>3073</v>
      </c>
      <c r="F1492" s="2">
        <v>94</v>
      </c>
      <c r="G1492" s="2">
        <v>98</v>
      </c>
      <c r="H1492" s="2">
        <v>101</v>
      </c>
      <c r="I1492" s="927"/>
    </row>
    <row r="1493" spans="1:9" x14ac:dyDescent="0.25">
      <c r="A1493" t="s">
        <v>2806</v>
      </c>
      <c r="B1493" s="2" t="s">
        <v>2956</v>
      </c>
      <c r="D1493" s="3" t="s">
        <v>3015</v>
      </c>
      <c r="F1493" s="2">
        <v>95</v>
      </c>
      <c r="G1493" s="2">
        <v>99</v>
      </c>
      <c r="H1493" s="2">
        <v>101</v>
      </c>
      <c r="I1493" s="985"/>
    </row>
    <row r="1494" spans="1:9" x14ac:dyDescent="0.25">
      <c r="A1494" t="s">
        <v>2890</v>
      </c>
      <c r="B1494" s="2" t="s">
        <v>2956</v>
      </c>
      <c r="D1494" s="3" t="s">
        <v>3138</v>
      </c>
      <c r="F1494" s="2">
        <v>96</v>
      </c>
      <c r="G1494" s="2">
        <v>105</v>
      </c>
      <c r="H1494" s="2">
        <v>100</v>
      </c>
      <c r="I1494" s="1047"/>
    </row>
    <row r="1495" spans="1:9" x14ac:dyDescent="0.25">
      <c r="A1495" t="s">
        <v>2823</v>
      </c>
      <c r="B1495" s="2" t="s">
        <v>2956</v>
      </c>
      <c r="D1495" s="3" t="s">
        <v>3033</v>
      </c>
      <c r="F1495" s="2">
        <v>98</v>
      </c>
      <c r="G1495" s="2">
        <v>112</v>
      </c>
      <c r="H1495" s="2">
        <v>98</v>
      </c>
      <c r="I1495" s="1058"/>
    </row>
    <row r="1496" spans="1:9" x14ac:dyDescent="0.25">
      <c r="A1496" t="s">
        <v>2891</v>
      </c>
      <c r="B1496" s="2" t="s">
        <v>2956</v>
      </c>
      <c r="D1496" s="3" t="s">
        <v>3139</v>
      </c>
      <c r="F1496" s="2">
        <v>98</v>
      </c>
      <c r="G1496" s="2">
        <v>85</v>
      </c>
      <c r="H1496" s="2">
        <v>70</v>
      </c>
      <c r="I1496" s="870"/>
    </row>
    <row r="1497" spans="1:9" x14ac:dyDescent="0.25">
      <c r="A1497" t="s">
        <v>3290</v>
      </c>
      <c r="B1497" t="s">
        <v>2567</v>
      </c>
      <c r="D1497" s="3" t="s">
        <v>3291</v>
      </c>
      <c r="I1497" s="1102"/>
    </row>
    <row r="1498" spans="1:9" x14ac:dyDescent="0.25">
      <c r="A1498" t="s">
        <v>3292</v>
      </c>
      <c r="B1498" t="s">
        <v>2567</v>
      </c>
      <c r="I1498" s="6"/>
    </row>
    <row r="1499" spans="1:9" x14ac:dyDescent="0.25">
      <c r="A1499" t="s">
        <v>3292</v>
      </c>
      <c r="B1499" t="s">
        <v>2567</v>
      </c>
      <c r="I1499" s="6"/>
    </row>
    <row r="1500" spans="1:9" x14ac:dyDescent="0.25">
      <c r="A1500" t="s">
        <v>3292</v>
      </c>
      <c r="B1500" t="s">
        <v>2567</v>
      </c>
      <c r="D1500" s="3" t="s">
        <v>3293</v>
      </c>
      <c r="I1500" s="1104"/>
    </row>
    <row r="1501" spans="1:9" x14ac:dyDescent="0.25">
      <c r="A1501" t="s">
        <v>3294</v>
      </c>
      <c r="B1501" t="s">
        <v>2567</v>
      </c>
      <c r="D1501" s="3" t="s">
        <v>3295</v>
      </c>
      <c r="I1501" s="1106"/>
    </row>
    <row r="1502" spans="1:9" x14ac:dyDescent="0.25">
      <c r="A1502" t="s">
        <v>3296</v>
      </c>
      <c r="B1502" t="s">
        <v>2567</v>
      </c>
      <c r="D1502" s="3" t="s">
        <v>3297</v>
      </c>
      <c r="I1502" s="1107"/>
    </row>
  </sheetData>
  <sortState xmlns:xlrd2="http://schemas.microsoft.com/office/spreadsheetml/2017/richdata2" ref="A1240:I1496">
    <sortCondition ref="D1240:D1496"/>
    <sortCondition sortBy="cellColor" ref="I1240:I1496" dxfId="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MaterialsSheet</vt:lpstr>
      <vt:lpstr>Hatch</vt:lpstr>
      <vt:lpstr>Standards</vt:lpstr>
      <vt:lpstr>RGB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Bicknell</dc:creator>
  <cp:lastModifiedBy>Chris Bicknell</cp:lastModifiedBy>
  <dcterms:created xsi:type="dcterms:W3CDTF">2022-08-18T01:05:02Z</dcterms:created>
  <dcterms:modified xsi:type="dcterms:W3CDTF">2023-02-23T07:45:10Z</dcterms:modified>
</cp:coreProperties>
</file>